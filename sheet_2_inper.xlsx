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 Capítulo (2)" sheetId="1" r:id="rId4"/>
    <sheet state="visible" name="Por Capítulo" sheetId="2" r:id="rId5"/>
    <sheet state="visible" name="Por Partida" sheetId="3" r:id="rId6"/>
    <sheet state="visible" name="BASE AC01 2025" sheetId="4" r:id="rId7"/>
    <sheet state="visible" name="Hoja1" sheetId="5" r:id="rId8"/>
    <sheet state="visible" name="Catálogos" sheetId="6" r:id="rId9"/>
  </sheets>
  <definedNames>
    <definedName hidden="1" localSheetId="5" name="_xlnm._FilterDatabase">'Catálogos'!$A$1:$B$492</definedName>
  </definedNames>
  <calcPr/>
  <pivotCaches>
    <pivotCache cacheId="0" r:id="rId10"/>
  </pivotCaches>
  <extLst>
    <ext uri="GoogleSheetsCustomDataVersion2">
      <go:sheetsCustomData xmlns:go="http://customooxmlschemas.google.com/" r:id="rId11" roundtripDataChecksum="TBHJiOhdeto0kbCn8TjQ40Mb63MsrUpg0ncGlqFl2B8="/>
    </ext>
  </extLst>
</workbook>
</file>

<file path=xl/sharedStrings.xml><?xml version="1.0" encoding="utf-8"?>
<sst xmlns="http://schemas.openxmlformats.org/spreadsheetml/2006/main" count="1351" uniqueCount="537">
  <si>
    <t>Ramo</t>
  </si>
  <si>
    <t>Unidad</t>
  </si>
  <si>
    <t>Finalidad</t>
  </si>
  <si>
    <t>Funcion</t>
  </si>
  <si>
    <t>Subfuncion</t>
  </si>
  <si>
    <t>Reasignaciones</t>
  </si>
  <si>
    <t>Actividad Institucional</t>
  </si>
  <si>
    <t>PP</t>
  </si>
  <si>
    <t>Modalidad</t>
  </si>
  <si>
    <t>Programa</t>
  </si>
  <si>
    <t>Capítulo</t>
  </si>
  <si>
    <t>Partida</t>
  </si>
  <si>
    <t>Descripción partida</t>
  </si>
  <si>
    <t>Tipo de Gasto</t>
  </si>
  <si>
    <t>Fuente de Financiamiento</t>
  </si>
  <si>
    <t>Entidad Federativa</t>
  </si>
  <si>
    <t>Clave de Cartera</t>
  </si>
  <si>
    <t>Original</t>
  </si>
  <si>
    <t>Modificado</t>
  </si>
  <si>
    <t>Devengado</t>
  </si>
  <si>
    <t>Ejercido</t>
  </si>
  <si>
    <t>Pagado</t>
  </si>
  <si>
    <t>NDE</t>
  </si>
  <si>
    <t>O</t>
  </si>
  <si>
    <t>Suma de Pagado</t>
  </si>
  <si>
    <t>Suma de Original</t>
  </si>
  <si>
    <t>Suma de Modificado</t>
  </si>
  <si>
    <t>Suma de Devengado</t>
  </si>
  <si>
    <t>Suma total</t>
  </si>
  <si>
    <t>O001 - Actividades de apoyo a la función pública y buen gobierno</t>
  </si>
  <si>
    <t>Total 1000</t>
  </si>
  <si>
    <t>1000 - Servicios personales</t>
  </si>
  <si>
    <t>3000 - Servicios generales</t>
  </si>
  <si>
    <t>Total general</t>
  </si>
  <si>
    <t>Fuente: Cuenta Pública 2025</t>
  </si>
  <si>
    <t>Total 2000</t>
  </si>
  <si>
    <t>MONTOS DE LA PARTIDA 35201 REPORTADOS EN CUENTA PUBLICA 2025</t>
  </si>
  <si>
    <t>Total 3000</t>
  </si>
  <si>
    <t>Total 4000</t>
  </si>
  <si>
    <t>Total 7000</t>
  </si>
  <si>
    <t>Partida Específica</t>
  </si>
  <si>
    <t>Descripción</t>
  </si>
  <si>
    <t>E</t>
  </si>
  <si>
    <t>Dietas</t>
  </si>
  <si>
    <t>Haberes</t>
  </si>
  <si>
    <t>Sueldos base</t>
  </si>
  <si>
    <t>Retribuciones por adscripción en el extranjero</t>
  </si>
  <si>
    <t>Honorarios</t>
  </si>
  <si>
    <t>Sueldos base al personal eventual</t>
  </si>
  <si>
    <t>Compensaciones a sustitutos de profesores</t>
  </si>
  <si>
    <t>Retribuciones por servicios de carácter social</t>
  </si>
  <si>
    <t>M</t>
  </si>
  <si>
    <t>Retribución a los representantes de los trabajadores y de los patrones en la Junta Federal de Conciliación y Arbitraje</t>
  </si>
  <si>
    <t>Prima quinquenal por años de servicios efectivos prestados</t>
  </si>
  <si>
    <t>Acreditación por años de servicio en la docencia y al personal administrativo de las instituciones de educación superior</t>
  </si>
  <si>
    <t>Prima de perseverancia por años de servicio activo en el Ejército, Fuerza Aérea y Armada Mexicanos</t>
  </si>
  <si>
    <t>Antigüedad</t>
  </si>
  <si>
    <t>Primas de vacaciones y dominical</t>
  </si>
  <si>
    <t>Aguinaldo o gratificación de fin de año</t>
  </si>
  <si>
    <t>Remuneraciones por horas extraordinarias</t>
  </si>
  <si>
    <t>Acreditación por titulación en la docencia</t>
  </si>
  <si>
    <t>Acreditación al personal docente por años de estudio de licenciatura</t>
  </si>
  <si>
    <t>Compensaciones por servicios especiales</t>
  </si>
  <si>
    <t>Compensaciones por servicios eventuales</t>
  </si>
  <si>
    <t>Compensaciones de retiro</t>
  </si>
  <si>
    <t>Compensaciones de servicios</t>
  </si>
  <si>
    <t>Compensaciones adicionales por servicios especiales</t>
  </si>
  <si>
    <t>Asignaciones docentes, pedagógicas genéricas y específicas</t>
  </si>
  <si>
    <t>Compensación por adquisición de material didáctico</t>
  </si>
  <si>
    <t>Compensación por actualización y formación académica</t>
  </si>
  <si>
    <t>Compensaciones a médicos residentes</t>
  </si>
  <si>
    <t>Gastos contingentes para el personal radicado en el extranjero</t>
  </si>
  <si>
    <t>Asignaciones inherentes a la conclusión de servicios en la Administración Pública Federal</t>
  </si>
  <si>
    <t>Asignaciones conforme al régimen laboral</t>
  </si>
  <si>
    <t>Sobrehaberes</t>
  </si>
  <si>
    <t>Asignaciones de técnico</t>
  </si>
  <si>
    <t>Asignaciones de mando</t>
  </si>
  <si>
    <t>Asignaciones por comisión</t>
  </si>
  <si>
    <t>Asignaciones de vuelo</t>
  </si>
  <si>
    <t>Asignaciones de técnico especial</t>
  </si>
  <si>
    <t>Honorarios especiales</t>
  </si>
  <si>
    <t>Participaciones por vigilancia en el cumplimiento de las leyes y custodia de valores</t>
  </si>
  <si>
    <t>Aportaciones al ISSSTE</t>
  </si>
  <si>
    <t>Aportaciones al ISSFAM</t>
  </si>
  <si>
    <t>Aportaciones al IMSS</t>
  </si>
  <si>
    <t>Aportaciones de seguridad social contractuales</t>
  </si>
  <si>
    <t>Aportaciones al seguro de cesantía en edad avanzada y vejez</t>
  </si>
  <si>
    <t>Aportaciones al FOVISSSTE</t>
  </si>
  <si>
    <t>Aportaciones al INFONAVIT</t>
  </si>
  <si>
    <t>Aportaciones al Sistema de Ahorro para el Retiro</t>
  </si>
  <si>
    <t>Depósitos para el ahorro solidario</t>
  </si>
  <si>
    <t>Cuotas para el seguro de vida del personal civil</t>
  </si>
  <si>
    <t>Cuotas para el seguro de vida del personal militar</t>
  </si>
  <si>
    <t>Cuotas para el seguro de gastos médicos del personal civil</t>
  </si>
  <si>
    <t>Cuotas para el seguro de separación individualizado</t>
  </si>
  <si>
    <t>Cuotas para el seguro colectivo de retiro</t>
  </si>
  <si>
    <t>Seguro de responsabilidad civil, asistencia legal y otros seguros</t>
  </si>
  <si>
    <t>*Montos tomados del archivo AC01presntado en Cuenta Pública 2025</t>
  </si>
  <si>
    <t>Cuotas para el fondo de ahorro del personal civil</t>
  </si>
  <si>
    <t>Cuotas para el fondo de ahorro de generales, almirantes, jefes y oficiales</t>
  </si>
  <si>
    <t>Cuotas para el fondo de trabajo del personal del Ejército, Fuerza Aérea y Armada Mexicanos</t>
  </si>
  <si>
    <t>Indemnizaciones por accidentes en el trabajo</t>
  </si>
  <si>
    <t>Pago de liquidaciones</t>
  </si>
  <si>
    <t>Prestaciones de retiro</t>
  </si>
  <si>
    <t>Prestaciones establecidas por condiciones generales de trabajo o contratos colectivos de trabajo</t>
  </si>
  <si>
    <t>Compensación garantizada</t>
  </si>
  <si>
    <t>Asignaciones adicionales al sueldo</t>
  </si>
  <si>
    <t>Apoyos a la capacitación de los servidores públicos</t>
  </si>
  <si>
    <t>Otras prestaciones</t>
  </si>
  <si>
    <t>Pago extraordinario por riesgo</t>
  </si>
  <si>
    <t>Incrementos a las percepciones</t>
  </si>
  <si>
    <t>Creación de plazas</t>
  </si>
  <si>
    <t>Otras medidas de carácter laboral y económico</t>
  </si>
  <si>
    <t>Previsiones para aportaciones al ISSSTE</t>
  </si>
  <si>
    <t>Previsiones para aportaciones al FOVISSSTE</t>
  </si>
  <si>
    <t>Previsiones para aportaciones al Sistema de Ahorro para el Retiro</t>
  </si>
  <si>
    <t>Previsiones para aportaciones al seguro de cesantía en edad avanzada y vejez</t>
  </si>
  <si>
    <t>Previsiones para los depósitos al ahorro solidario</t>
  </si>
  <si>
    <t>Estímulos por productividad y eficiencia</t>
  </si>
  <si>
    <t>Estímulos al personal operativo</t>
  </si>
  <si>
    <t>Materiales y útiles de oficina</t>
  </si>
  <si>
    <t>Materiales de administración, emisión de documentos y artículos oficiales (Solo Ramo 35)</t>
  </si>
  <si>
    <t>Materiales y útiles de impresión y reproducción</t>
  </si>
  <si>
    <t>Material estadístico y geográfico</t>
  </si>
  <si>
    <t>Materiales y útiles consumibles para el procesamiento en equipos y bienes informáticos</t>
  </si>
  <si>
    <t>Material de apoyo informativo</t>
  </si>
  <si>
    <t>Material para información en actividades de investigación científica y tecnológica</t>
  </si>
  <si>
    <t>Material de limpieza</t>
  </si>
  <si>
    <t>Materiales y suministros para planteles educativos</t>
  </si>
  <si>
    <t>Productos alimenticios para el Ejército, Fuerza Aérea y Armada Mexicanos, y para los efectivos que participen en programas de seguridad pública</t>
  </si>
  <si>
    <t>Productos alimenticios para personas derivado de la prestación de servicios públicos en unidades de salud, educativas, de readaptación social y otras</t>
  </si>
  <si>
    <t>Productos alimenticios para el personal que realiza labores en campo o de supervisión</t>
  </si>
  <si>
    <t>Productos alimenticios para el personal en las instalaciones de las dependencias y entidades</t>
  </si>
  <si>
    <t>Productos alimenticios para la población en caso de desastres naturales</t>
  </si>
  <si>
    <t>Productos alimenticios para el personal derivado de actividades extraordinarias</t>
  </si>
  <si>
    <t>Alimentos y utensilios (Solo Ramo 35)</t>
  </si>
  <si>
    <t>Productos alimenticios para animales</t>
  </si>
  <si>
    <t>Utensilios para el servicio de alimentación</t>
  </si>
  <si>
    <t>Productos alimenticios, agropecuarios y forestales adquiridos como materia prima</t>
  </si>
  <si>
    <t>Materias primas y materiales de producción y comercialización (Solo Ramo 35)</t>
  </si>
  <si>
    <t>Insumos textiles adquiridos como materia prima</t>
  </si>
  <si>
    <t>Productos de papel, cartón e impresos adquiridos como materia prima</t>
  </si>
  <si>
    <t>Combustibles, lubricantes, aditivos, carbón y sus derivados adquiridos como materia prima</t>
  </si>
  <si>
    <t>Productos químicos, farmacéuticos y de laboratorio adquiridos como materia prima</t>
  </si>
  <si>
    <t>Productos metálicos y a base de minerales no metálicos adquiridos como materia prima</t>
  </si>
  <si>
    <t>Productos de cuero, piel, plástico y hule adquiridos como materia prima</t>
  </si>
  <si>
    <t>Mercancías para su comercialización en tiendas del sector público</t>
  </si>
  <si>
    <t>Otros productos adquiridos como materia prima</t>
  </si>
  <si>
    <t>Petróleo, gas y sus derivados adquiridos como materia prima</t>
  </si>
  <si>
    <t>Productos minerales no metálicos</t>
  </si>
  <si>
    <t>Materiales y artículos de construcción y de reparación (Solo Ramo 35)</t>
  </si>
  <si>
    <t>Cemento y productos de concreto</t>
  </si>
  <si>
    <t>Cal, yeso y productos de yeso</t>
  </si>
  <si>
    <t>Madera y productos de madera</t>
  </si>
  <si>
    <t>Vidrio y productos de vidrio</t>
  </si>
  <si>
    <t>Material eléctrico y electrónico</t>
  </si>
  <si>
    <t>Artículos metálicos para la construcción</t>
  </si>
  <si>
    <t>Materiales complementarios</t>
  </si>
  <si>
    <t>Otros materiales y artículos de construcción y reparación</t>
  </si>
  <si>
    <t>Productos químicos básicos</t>
  </si>
  <si>
    <t>Productos químicos, farmacéuticos y de laboratorio (Solo Ramo 35)</t>
  </si>
  <si>
    <t>Plaguicidas, abonos y fertilizantes</t>
  </si>
  <si>
    <t>Medicinas y productos farmacéuticos</t>
  </si>
  <si>
    <t>Materiales, accesorios y suministros médicos</t>
  </si>
  <si>
    <t>Materiales, accesorios y suministros de laboratorio</t>
  </si>
  <si>
    <t>Otros productos químicos</t>
  </si>
  <si>
    <t>Combustibles, lubricantes y aditivos para vehículos terrestres, aéreos, marítimos, lacustres y fluviales destinados a la ejecución de programas de seguridad pública y nacional</t>
  </si>
  <si>
    <t>Combustibles, lubricantes y aditivos para vehículos terrestres, aéreos, marítimos, lacustres y fluviales destinados a servicios públicos y la operación de programas públicos</t>
  </si>
  <si>
    <t>Combustibles, lubricantes y aditivos para vehículos terrestres, aéreos, marítimos, lacustres y fluviales destinados a servicios administrativos</t>
  </si>
  <si>
    <t>Combustibles, lubricantes y aditivos para vehículos terrestres, aéreos, marítimos, lacustres y fluviales asignados a servidores públicos</t>
  </si>
  <si>
    <t>Combustibles, lubricantes y aditivos para maquinaria, equipo de producción y servicios administrativos</t>
  </si>
  <si>
    <t>PIDIREGAS cargos variables</t>
  </si>
  <si>
    <t>Combustibles nacionales para plantas productivas</t>
  </si>
  <si>
    <t>Combustibles de importación para plantas productivas</t>
  </si>
  <si>
    <t>Combustibles, lubricantes y aditivos (Solo Ramo 35)</t>
  </si>
  <si>
    <t>Vestuario y uniformes</t>
  </si>
  <si>
    <t>Vestuario, blancos, prendas de protección y artículos deportivos (Solo Ramo 35)</t>
  </si>
  <si>
    <t>Prendas de protección personal</t>
  </si>
  <si>
    <t>Artículos deportivos</t>
  </si>
  <si>
    <t>Productos textiles</t>
  </si>
  <si>
    <t>Blancos y otros productos textiles, excepto prendas de vestir</t>
  </si>
  <si>
    <t>Sustancias y materiales explosivos</t>
  </si>
  <si>
    <t>Materiales y suministros para seguridad (Solo Ramo 35)</t>
  </si>
  <si>
    <t>Materiales de seguridad pública</t>
  </si>
  <si>
    <t>Prendas de protección para seguridad pública y nacional</t>
  </si>
  <si>
    <t>Herramientas menores</t>
  </si>
  <si>
    <t>Herramientas, refacciones y accesorios menores (Solo Ramo 35)</t>
  </si>
  <si>
    <t>Refacciones y accesorios menores de edificios</t>
  </si>
  <si>
    <t>Refacciones y accesorios menores de mobiliario y equipo de administración, educacional y recreativo</t>
  </si>
  <si>
    <t>Refacciones y accesorios para equipo de cómputo y telecomunicaciones</t>
  </si>
  <si>
    <t>Refacciones y accesorios menores de equipo e instrumental médico y de laboratorio</t>
  </si>
  <si>
    <t>Refacciones y accesorios menores de equipo de transporte</t>
  </si>
  <si>
    <t>Refacciones y accesorios menores de equipo de defensa y seguridad</t>
  </si>
  <si>
    <t>Refacciones y accesorios menores de maquinaria y otros equipos</t>
  </si>
  <si>
    <t>Refacciones y accesorios menores otros bienes muebles</t>
  </si>
  <si>
    <t>Servicio de energía eléctrica</t>
  </si>
  <si>
    <t>Servicios básicos (Solo Ramo 35)</t>
  </si>
  <si>
    <t>Servicio de gas</t>
  </si>
  <si>
    <t>Servicio de agua</t>
  </si>
  <si>
    <t>Servicio telefónico convencional</t>
  </si>
  <si>
    <t>Servicio de telefonía celular</t>
  </si>
  <si>
    <t>Servicio de radiolocalización</t>
  </si>
  <si>
    <t>Servicios de telecomunicaciones</t>
  </si>
  <si>
    <t>Servicios de Internet</t>
  </si>
  <si>
    <t>Servicios de conducción de señales analógicas y digitales</t>
  </si>
  <si>
    <t>Servicio postal</t>
  </si>
  <si>
    <t>Servicio telegráfico</t>
  </si>
  <si>
    <t>Servicios integrales de telecomunicación</t>
  </si>
  <si>
    <t>Contratación de otros servicios</t>
  </si>
  <si>
    <t>Servicios generales para planteles educativos</t>
  </si>
  <si>
    <t>Servicios integrales de infraestructura de cómputo</t>
  </si>
  <si>
    <t>Arrendamiento de terrenos</t>
  </si>
  <si>
    <t>Servicios de arrendamiento (Solo Ramo 35)</t>
  </si>
  <si>
    <t>Arrendamiento de edificios y locales</t>
  </si>
  <si>
    <t>Arrendamiento de equipo y bienes informáticos</t>
  </si>
  <si>
    <t>Arrendamiento de mobiliario</t>
  </si>
  <si>
    <t>Arrendamiento de equipo de telecomunicaciones</t>
  </si>
  <si>
    <t>Arrendamiento de equipo e instrumental médico y de laboratorio</t>
  </si>
  <si>
    <t>Arrendamiento de vehículos terrestres, aéreos, marítimos, lacustres y fluviales para la ejecución de programas de seguridad pública y nacional</t>
  </si>
  <si>
    <t>Arrendamiento de vehículos terrestres, aéreos, marítimos, lacustres y fluviales para servicios públicos y la operación de programas públicos</t>
  </si>
  <si>
    <t>Arrendamiento de vehículos terrestres, aéreos, marítimos, lacustres y fluviales para servicios administrativos</t>
  </si>
  <si>
    <t>Arrendamiento de vehículos terrestres, aéreos, marítimos, lacustres y fluviales para desastres naturales</t>
  </si>
  <si>
    <t>Arrendamiento de vehículos terrestres, aéreos, marítimos, lacustres y fluviales para servidores públicos</t>
  </si>
  <si>
    <t>Arrendamiento de maquinaria y equipo</t>
  </si>
  <si>
    <t>Patentes, derechos de autor, regalías y otros</t>
  </si>
  <si>
    <t>Arrendamiento de sustancias y productos químicos</t>
  </si>
  <si>
    <t>PIDIREGAS cargos fijos</t>
  </si>
  <si>
    <t>Otros Arrendamientos</t>
  </si>
  <si>
    <t>Asesorías asociadas a convenios, tratados o acuerdos</t>
  </si>
  <si>
    <t>Asesorías por controversias en el marco de los tratados internacionales</t>
  </si>
  <si>
    <t>Consultorías para programas o proyectos financiados por organismos internacionales</t>
  </si>
  <si>
    <t>Otras asesorías para la operación de programas</t>
  </si>
  <si>
    <t>Servicios relacionados con procedimientos jurisdiccionales</t>
  </si>
  <si>
    <t>Servicios profesionales, científicos, técnicos y otros servicios (Solo Ramo 35)</t>
  </si>
  <si>
    <t>Servicios de diseño, arquitectura, ingeniería y actividades relacionadas</t>
  </si>
  <si>
    <t>Servicios de desarrollo de aplicaciones informáticas</t>
  </si>
  <si>
    <t>Servicios estadísticos y geográficos</t>
  </si>
  <si>
    <t>Servicios relacionados con certificación de procesos</t>
  </si>
  <si>
    <t>Servicios de mantenimiento de aplicaciones informáticas</t>
  </si>
  <si>
    <t>Servicios para capacitación a servidores públicos</t>
  </si>
  <si>
    <t>Estudios e investigaciones</t>
  </si>
  <si>
    <t>Servicios relacionados con traducciones</t>
  </si>
  <si>
    <t>Otros servicios comerciales</t>
  </si>
  <si>
    <t>Impresiones de documentos oficiales para la prestación de servicios públicos, identificación, formatos administrativos y fiscales, formas valoradas, certificados y títulos</t>
  </si>
  <si>
    <t>Impresión y elaboración de material informativo derivado de la operación y administración de las dependencias y entidades</t>
  </si>
  <si>
    <t>Información en medios masivos derivada de la operación y administración de las dependencias y entidades</t>
  </si>
  <si>
    <t>Servicios de digitalización</t>
  </si>
  <si>
    <t>Gastos de seguridad pública y nacional</t>
  </si>
  <si>
    <t>Gastos en actividades de seguridad y logística del Estado Mayor Presidencial</t>
  </si>
  <si>
    <t>Servicios de vigilancia</t>
  </si>
  <si>
    <t>Subcontratación de servicios con terceros</t>
  </si>
  <si>
    <t>Proyectos para prestación de servicios</t>
  </si>
  <si>
    <t>Servicios integrales</t>
  </si>
  <si>
    <t>Servicios bancarios y financieros</t>
  </si>
  <si>
    <t>Servicios financieros, bancarios y comerciales (Solo Ramo 35)</t>
  </si>
  <si>
    <t>Gastos inherentes a la recaudación</t>
  </si>
  <si>
    <t>Seguro de responsabilidad patrimonial del Estado</t>
  </si>
  <si>
    <t>Seguros de bienes patrimoniales</t>
  </si>
  <si>
    <t>Almacenaje, embalaje y envase</t>
  </si>
  <si>
    <t>Fletes y maniobras</t>
  </si>
  <si>
    <t>Comisiones por ventas</t>
  </si>
  <si>
    <t>Mantenimiento y conservación de inmuebles para la prestación de servicios administrativos</t>
  </si>
  <si>
    <t>Mantenimiento y conservación de inmuebles para la prestación de servicios públicos</t>
  </si>
  <si>
    <t>Servicios de instalación, reparación, mantenimiento y conservación (Solo Ramo 35)</t>
  </si>
  <si>
    <t>Mantenimiento y conservación de mobiliario y equipo de administración</t>
  </si>
  <si>
    <t>Mantenimiento y conservación de bienes informáticos</t>
  </si>
  <si>
    <t>Instalación, reparación y mantenimiento de equipo e instrumental médico y de laboratorio</t>
  </si>
  <si>
    <t>Mantenimiento y conservación de vehículos terrestres, aéreos, marítimos, lacustres y fluviales</t>
  </si>
  <si>
    <t>Reparación y mantenimiento de equipo de defensa y seguridad</t>
  </si>
  <si>
    <t>Mantenimiento y conservación de maquinaria y equipo</t>
  </si>
  <si>
    <t>Mantenimiento y conservación de plantas e instalaciones productivas</t>
  </si>
  <si>
    <t>Servicios de lavandería, limpieza e higiene</t>
  </si>
  <si>
    <t>Servicios de jardinería y fumigación</t>
  </si>
  <si>
    <t>Difusión de mensajes sobre programas y actividades gubernamentales</t>
  </si>
  <si>
    <t>Servicios de comunicación social y publicidad (Solo Ramo 35)</t>
  </si>
  <si>
    <t>Difusión de mensajes comerciales para promover la venta de productos o servicios</t>
  </si>
  <si>
    <t>Servicios de Revelado de Fotografías (Solo para el Ramo 03 Poder Judicial)</t>
  </si>
  <si>
    <t>Servicio de creación y difusión de contenido exclusivamente a través de Internet (Solo para el Ramo 03 Poder Judicial)</t>
  </si>
  <si>
    <t>Servicios relacionados con monitoreo de información en medios masivos</t>
  </si>
  <si>
    <t>Pasajes aéreos nacionales para labores en campo y de supervisión</t>
  </si>
  <si>
    <t>Pasajes aéreos nacionales asociados a los programas de seguridad pública y nacional</t>
  </si>
  <si>
    <t>Pasajes aéreos nacionales asociados a desastres naturales</t>
  </si>
  <si>
    <t>Pasajes aéreos nacionales para servidores públicos de mando en el desempeño de comisiones y funciones oficiales</t>
  </si>
  <si>
    <t>Pasajes aéreos internacionales asociados a los programas de seguridad pública y nacional</t>
  </si>
  <si>
    <t>Pasajes aéreos internacionales para servidores públicos en el desempeño de comisiones y funciones oficiales</t>
  </si>
  <si>
    <t>Servicios de traslado y viáticos (Solo Ramo 35)</t>
  </si>
  <si>
    <t>Pasajes terrestres nacionales para labores en campo y de supervisión</t>
  </si>
  <si>
    <t>Pasajes terrestres nacionales asociados a los programas de seguridad pública y nacional</t>
  </si>
  <si>
    <t>Pasajes terrestres nacionales asociados a desastres naturales</t>
  </si>
  <si>
    <t>Pasajes terrestres nacionales para servidores públicos de mando en el desempeño de comisiones y funciones oficiales</t>
  </si>
  <si>
    <t>Pasajes terrestres internacionales asociados a los programas de seguridad pública y nacional</t>
  </si>
  <si>
    <t>Pasajes terrestres internacionales para servidores públicos en el desempeño de comisiones y funciones oficiales</t>
  </si>
  <si>
    <t>Pasajes terrestres nacionales por medio electrónico</t>
  </si>
  <si>
    <t>Pasajes marítimos, lacustres y fluviales para labores en campo y de supervisión</t>
  </si>
  <si>
    <t>Pasajes marítimos, lacustres y fluviales asociados a los programas de seguridad pública y nacional</t>
  </si>
  <si>
    <t>Pasajes marítimos, lacustres y fluviales asociados a desastres naturales</t>
  </si>
  <si>
    <t>Pasajes marítimos, lacustres y fluviales para servidores públicos de mando en el desempeño de comisiones y funciones oficiales</t>
  </si>
  <si>
    <t>Viáticos nacionales para labores en campo y de supervisión</t>
  </si>
  <si>
    <t>Viáticos nacionales asociados a los programas de seguridad pública y nacional</t>
  </si>
  <si>
    <t>Viáticos nacionales asociados a desastres naturales</t>
  </si>
  <si>
    <t>Viáticos nacionales para servidores públicos en el desempeño de funciones oficiales</t>
  </si>
  <si>
    <t>Viáticos en el extranjero asociados a los programas de seguridad pública y nacional</t>
  </si>
  <si>
    <t>Viáticos en el extranjero para servidores públicos en el desempeño de comisiones y funciones oficiales</t>
  </si>
  <si>
    <t>Instalación del personal federal</t>
  </si>
  <si>
    <t>Servicios integrales nacionales para servidores públicos en el desempeño de comisiones y funciones oficiales</t>
  </si>
  <si>
    <t>Servicios integrales en el extranjero para servidores públicos en el desempeño de comisiones y funciones oficiales</t>
  </si>
  <si>
    <t>Gastos para operativos y trabajos de campo en áreas rurales</t>
  </si>
  <si>
    <t>Gastos de ceremonial del titular del Ejecutivo Federal</t>
  </si>
  <si>
    <t>Gastos de ceremonial de los titulares de las dependencias y entidades</t>
  </si>
  <si>
    <t>Gastos inherentes a la investidura presidencial</t>
  </si>
  <si>
    <t>Servicios oficiales (Solo Ramo 35)</t>
  </si>
  <si>
    <t>Gastos de orden social</t>
  </si>
  <si>
    <t>Congresos y convenciones</t>
  </si>
  <si>
    <t>Exposiciones</t>
  </si>
  <si>
    <t>Gastos para alimentación de servidores públicos de mando</t>
  </si>
  <si>
    <t>Funerales y pagas de defunción</t>
  </si>
  <si>
    <t>Otros servicios generales (Solo Ramo 35)</t>
  </si>
  <si>
    <t>Impuestos y derechos de exportación</t>
  </si>
  <si>
    <t>Otros impuestos y derechos</t>
  </si>
  <si>
    <t>Impuestos y derechos de importación</t>
  </si>
  <si>
    <t>Erogaciones por resoluciones por autoridad competente</t>
  </si>
  <si>
    <t>Indemnizaciones por expropiación de predios</t>
  </si>
  <si>
    <t>Otras asignaciones derivadas de resoluciones de ley</t>
  </si>
  <si>
    <t>Penas, multas, accesorios y actualizaciones</t>
  </si>
  <si>
    <t>Pérdidas del erario federal</t>
  </si>
  <si>
    <t>Otros gastos por responsabilidades</t>
  </si>
  <si>
    <t>Erogaciones por pago de utilidades</t>
  </si>
  <si>
    <t>Impuesto sobre nóminas</t>
  </si>
  <si>
    <t>Gastos de las Comisiones Internacionales de Límites y Aguas</t>
  </si>
  <si>
    <t>Gastos de las oficinas del Servicio Exterior Mexicano</t>
  </si>
  <si>
    <t>Asignaciones a los grupos parlamentarios</t>
  </si>
  <si>
    <t>Participaciones en órganos de gobierno</t>
  </si>
  <si>
    <t>Actividades de coordinación con el Presidente Electo</t>
  </si>
  <si>
    <t>Servicios Corporativos prestados por las Entidades Paraestatales a sus Organismos</t>
  </si>
  <si>
    <t>Servicios prestados entre Organismos de una Entidad Paraestatal</t>
  </si>
  <si>
    <t>Erogaciones por cuenta de terceros</t>
  </si>
  <si>
    <t>Erogaciones recuperables</t>
  </si>
  <si>
    <t>Apertura de Fondo Rotatorio</t>
  </si>
  <si>
    <t>Transferencias para cubrir el déficit de operación y los gastos de administración asociados al otorgamiento de subsidios</t>
  </si>
  <si>
    <t>Transferencias a entidades empresariales no financieras derivadas de la obtención de derechos</t>
  </si>
  <si>
    <t>Subsidios a la producción</t>
  </si>
  <si>
    <t>Subsidios a la distribución</t>
  </si>
  <si>
    <t>Subsidios para inversión</t>
  </si>
  <si>
    <t>Subsidios a la prestación de servicios públicos</t>
  </si>
  <si>
    <t>Subsidios para cubrir diferenciales de tasas de interés</t>
  </si>
  <si>
    <t>Subsidios para la adquisición de vivienda de interés social</t>
  </si>
  <si>
    <t>Subsidios al consumo</t>
  </si>
  <si>
    <t>Subsidios a Entidades Federativas y Municipios</t>
  </si>
  <si>
    <t>Subsidios para capacitación y becas</t>
  </si>
  <si>
    <t>Subsidios a fideicomisos privados y estatales</t>
  </si>
  <si>
    <t>Gastos relacionados con actividades culturales, deportivas y de ayuda extraordinaria</t>
  </si>
  <si>
    <t>Gastos por servicios de traslado de personas</t>
  </si>
  <si>
    <t>Premios, recompensas, pensiones de gracia y pensión recreativa estudiantil</t>
  </si>
  <si>
    <t>Premios, estímulos, recompensas, becas y seguros a deportistas</t>
  </si>
  <si>
    <t>Apoyo a voluntarios que participan en diversos programas federales</t>
  </si>
  <si>
    <t>Compensaciones por servicios de carácter social</t>
  </si>
  <si>
    <t>Apoyo a representantes del Poder Legislativo y partidos políticos ante el Consejo General del IFE</t>
  </si>
  <si>
    <t>Dietas a consejeros electorales locales y distritales en el año electoral federal</t>
  </si>
  <si>
    <t>Apoyo para alimentos a funcionarios de casilla el día de la jornada electoral federal</t>
  </si>
  <si>
    <t>Apoyo financiero a consejeros electorales locales y distritales en año electoral federal</t>
  </si>
  <si>
    <t>Ayudas sociales (Solo Ramo 35)</t>
  </si>
  <si>
    <t>Otras ayudas para programas de capacitación (Solo para el Ramo 03 Poder Judicial)</t>
  </si>
  <si>
    <t>Apoyos a la investigación científica y tecnológica de instituciones académicas y sector público</t>
  </si>
  <si>
    <t>Apoyos a la investigación científica y tecnológica en instituciones sin fines de lucro</t>
  </si>
  <si>
    <t>Apoyo financiero al Comité Nacional de Supervisión y Evaluación y a la Comisión Nacional de Vigilancia locales y distritales del Registro Federal de Electores</t>
  </si>
  <si>
    <t>Financiamiento público a partidos políticos y agrupaciones políticas con registro autorizado</t>
  </si>
  <si>
    <t>Mercancías para su distribución a la población</t>
  </si>
  <si>
    <t>Pago de pensiones y jubilaciones</t>
  </si>
  <si>
    <t>Pago de pensiones y jubilaciones contractuales</t>
  </si>
  <si>
    <t>Transferencias para el pago de pensiones y jubilaciones</t>
  </si>
  <si>
    <t>Pago de sumas aseguradas</t>
  </si>
  <si>
    <t>Prestaciones económicas distintas de pensiones y jubilaciones</t>
  </si>
  <si>
    <t>Aportaciones a fideicomisos públicos</t>
  </si>
  <si>
    <t>Aportaciones a mandatos públicos</t>
  </si>
  <si>
    <t>Transferencias a fideicomisos, mandatos y otros análogos (Solo Ramo 35)</t>
  </si>
  <si>
    <t>Aportaciones a Fideicomisos Públicos del Poder Legislativo</t>
  </si>
  <si>
    <t>Aportaciones a fideicomisos públicos del Poder Judicial</t>
  </si>
  <si>
    <t>Trasferencias para cuotas y aportaciones de seguridad social para el IMSS, ISSSTE e ISSFAM por obligación del Estado</t>
  </si>
  <si>
    <t>Transferencias para cuotas y aportaciones a los seguros de retiro, cesantía en edad avanzada y vejez</t>
  </si>
  <si>
    <t>Donativos a instituciones sin fines de lucro</t>
  </si>
  <si>
    <t>Donativos (Solo Ramo 35)</t>
  </si>
  <si>
    <t>Donativos a entidades federativas o municipios</t>
  </si>
  <si>
    <t>Donativos a fideicomisos privados</t>
  </si>
  <si>
    <t>Donativos a fideicomisos estatales</t>
  </si>
  <si>
    <t>Donativos internacionales</t>
  </si>
  <si>
    <t>Transferencias al exterior (Solo Ramo 35)</t>
  </si>
  <si>
    <t>Cuotas y aportaciones a organismos internacionales</t>
  </si>
  <si>
    <t>Otras aportaciones internacionales</t>
  </si>
  <si>
    <t>Mobiliario</t>
  </si>
  <si>
    <t>Mobiliario y equipo de administración (Solo Ramo 35)</t>
  </si>
  <si>
    <t>Bienes artísticos y culturales</t>
  </si>
  <si>
    <t>Bienes informáticos</t>
  </si>
  <si>
    <t>Equipo de administración</t>
  </si>
  <si>
    <t>Adjudicaciones, expropiaciones e indemnizaciones de bienes muebles</t>
  </si>
  <si>
    <t>Equipos y aparatos audiovisuales</t>
  </si>
  <si>
    <t>Mobiliario y equipo educacional y recreativo (Solo Ramo 35)</t>
  </si>
  <si>
    <t>Aparatos deportivos</t>
  </si>
  <si>
    <t>Cámaras fotográficas y de video</t>
  </si>
  <si>
    <t>Otro mobiliario y equipo educacional y recreativo</t>
  </si>
  <si>
    <t>Equipo médico y de laboratorio</t>
  </si>
  <si>
    <t>Equipo e instrumental medico y de laboratorio (Solo Ramo 35)</t>
  </si>
  <si>
    <t>Instrumental médico y de laboratorio</t>
  </si>
  <si>
    <t>Vehículos y equipo terrestres, para la ejecución de programas de seguridad pública y nacional</t>
  </si>
  <si>
    <t>Vehículos y equipo terrestres, destinados exclusivamente para desastres naturales</t>
  </si>
  <si>
    <t>Vehículos y equipo terrestres, destinados a servicios públicos y la operación de programas públicos</t>
  </si>
  <si>
    <t>Vehículos y equipo terrestres, destinados a servicios administrativos</t>
  </si>
  <si>
    <t>Vehículos y equipo terrestres, destinados a servidores públicos</t>
  </si>
  <si>
    <t>Vehículos y equipo de transporte (Solo Ramo 35)</t>
  </si>
  <si>
    <t>Carrocerías y remolques</t>
  </si>
  <si>
    <t>Vehículos y equipo aéreos, para la ejecución de programas de seguridad pública y nacional</t>
  </si>
  <si>
    <t>Vehículos y equipo aéreos, destinados exclusivamente para desastres naturales</t>
  </si>
  <si>
    <t>Vehículos y equipo aéreos, destinados a servicios públicos y la operación de programas públicos</t>
  </si>
  <si>
    <t>Equipo ferroviario</t>
  </si>
  <si>
    <t>Vehículos y equipo marítimo, para la ejecución de programas de seguridad pública y nacional</t>
  </si>
  <si>
    <t>Vehículos y equipo marítimo, destinados a servicios públicos y la operación de programas públicos</t>
  </si>
  <si>
    <t>Construcción de embarcaciones</t>
  </si>
  <si>
    <t>Otros equipos de transporte</t>
  </si>
  <si>
    <t>Maquinaria y equipo de defensa y seguridad pública</t>
  </si>
  <si>
    <t>Equipo de seguridad pública y nacional</t>
  </si>
  <si>
    <t>Equipo de defensa y seguridad (Solo Ramo 35)</t>
  </si>
  <si>
    <t>Maquinaria y equipo agropecuario</t>
  </si>
  <si>
    <t>Maquinaria, otros equipos y herramientas (Solo Ramo 35)</t>
  </si>
  <si>
    <t>Maquinaria y equipo industrial</t>
  </si>
  <si>
    <t>Maquinaria y equipo de construcción</t>
  </si>
  <si>
    <t>Equipos y aparatos de comunicaciones y telecomunicaciones</t>
  </si>
  <si>
    <t>Maquinaria y equipo eléctrico y electrónico</t>
  </si>
  <si>
    <t>Herramientas y máquinas herramienta</t>
  </si>
  <si>
    <t>Bienes muebles por arrendamiento financiero</t>
  </si>
  <si>
    <t>Otros bienes muebles</t>
  </si>
  <si>
    <t>Animales de reproducción</t>
  </si>
  <si>
    <t>Activos biológicos (Solo Ramo 35)</t>
  </si>
  <si>
    <t>Animales de trabajo</t>
  </si>
  <si>
    <t>Animales de custodia y vigilancia</t>
  </si>
  <si>
    <t>Terrenos</t>
  </si>
  <si>
    <t>Bienes inmuebles (Solo Ramo 35)</t>
  </si>
  <si>
    <t>Edificios y locales</t>
  </si>
  <si>
    <t>Adjudicaciones, expropiaciones e indemnizaciones de inmuebles</t>
  </si>
  <si>
    <t>Bienes inmuebles en la modalidad de proyectos de infraestructura productiva de largo plazo</t>
  </si>
  <si>
    <t>Bienes inmuebles por arrendamiento financiero</t>
  </si>
  <si>
    <t>Otros bienes inmuebles</t>
  </si>
  <si>
    <t>Software</t>
  </si>
  <si>
    <t>Activos intangibles (Solo Ramo 35)</t>
  </si>
  <si>
    <t>Obras de construcción para edificios habitacionales</t>
  </si>
  <si>
    <t>Mantenimiento y rehabilitación de edificaciones habitacionales</t>
  </si>
  <si>
    <t>Obra pública en bienes propios (Solo Ramo 35)</t>
  </si>
  <si>
    <t>Obras de construcción para edificios no habitacionales</t>
  </si>
  <si>
    <t>Mantenimiento y rehabilitación de edificaciones no habitacionales</t>
  </si>
  <si>
    <t>Construcción de obras para el abastecimiento de agua, petróleo, gas, electricidad y telecomunicaciones</t>
  </si>
  <si>
    <t>Mantenimiento y rehabilitación de obras para el abastecimiento de agua, petróleo, gas, electricidad y telecomunicaciones</t>
  </si>
  <si>
    <t>Obras de preedificación en terrenos de construcción</t>
  </si>
  <si>
    <t>Construcción de obras de urbanización</t>
  </si>
  <si>
    <t>Mantenimiento y rehabilitación de obras de urbanización</t>
  </si>
  <si>
    <t>Construcción de vías de comunicación</t>
  </si>
  <si>
    <t>Mantenimiento y rehabilitación de las vías de comunicación</t>
  </si>
  <si>
    <t>Otras construcciones de ingeniería civil u obra pesada</t>
  </si>
  <si>
    <t>Mantenimiento y rehabilitación de otras obras de ingeniería civil u obras pesadas</t>
  </si>
  <si>
    <t>Instalaciones y obras de construcción especializada</t>
  </si>
  <si>
    <t>Ensamble y edificación de construcciones prefabricadas</t>
  </si>
  <si>
    <t>Obras de terminación y acabado de edificios</t>
  </si>
  <si>
    <t>Servicios de supervisión de obras</t>
  </si>
  <si>
    <t>Servicios para la liberación de derechos de vía</t>
  </si>
  <si>
    <t>Otros servicios relacionados con obras públicas</t>
  </si>
  <si>
    <t>Adquisición de acciones de organismos internacionales</t>
  </si>
  <si>
    <t>Adquisición de bonos</t>
  </si>
  <si>
    <t>Adquisición de obligaciones</t>
  </si>
  <si>
    <t>Fideicomisos para adquisición de títulos de crédito</t>
  </si>
  <si>
    <t>Adquisición de acciones</t>
  </si>
  <si>
    <t>Adquisición de otros valores</t>
  </si>
  <si>
    <t>Créditos directos para actividades productivas otorgados a entidades paraestatales empresariales y no financieras con fines de política económica</t>
  </si>
  <si>
    <t>Créditos directos para actividades productivas otorgados a entidades federativas y municipios con fines de política económica</t>
  </si>
  <si>
    <t>Créditos directos para actividades productivas otorgados al sector privado con fines de política económica</t>
  </si>
  <si>
    <t>Fideicomisos para financiamiento de obras</t>
  </si>
  <si>
    <t>Fideicomisos para financiamientos agropecuarios</t>
  </si>
  <si>
    <t>Fideicomisos para financiamientos industriales</t>
  </si>
  <si>
    <t>Fideicomisos para financiamientos al comercio y otros servicios</t>
  </si>
  <si>
    <t>Fideicomisos para financiamientos de vivienda</t>
  </si>
  <si>
    <t>Inversiones en fideicomisos públicos empresariales y no financieros considerados entidades paraestatales</t>
  </si>
  <si>
    <t>Inversiones en fideicomisos públicos considerados entidades paraestatales</t>
  </si>
  <si>
    <t>Inversiones en mandatos y otros análogos</t>
  </si>
  <si>
    <t>Aportaciones a fideicomisos, mandatos y otros análogos del sector privado</t>
  </si>
  <si>
    <t>Erogaciones contingentes</t>
  </si>
  <si>
    <t>Provisiones para Erogaciones Especiales</t>
  </si>
  <si>
    <t>Fondo General de Participaciones</t>
  </si>
  <si>
    <t>Fondo de Fomento Municipal</t>
  </si>
  <si>
    <t>Otros conceptos participables de la Federación a entidades federativas</t>
  </si>
  <si>
    <t>Aportaciones federales a las entidades federativas y municipios para servicios personales</t>
  </si>
  <si>
    <t>Aportaciones federales a las entidades federativas y municipios para aportaciones al ISSSTE</t>
  </si>
  <si>
    <t>Aportaciones federales a las entidades federativas y municipios para gastos de operación</t>
  </si>
  <si>
    <t>Aportaciones federales a las entidades federativas y municipios para gastos de inversión</t>
  </si>
  <si>
    <t>Aportaciones federales a las entidades federativas y municipios</t>
  </si>
  <si>
    <t>Aportaciones federales a las entidades federativas y municipios para incrementos a las percepciones</t>
  </si>
  <si>
    <t>Aportaciones federales a las entidades federativas y municipios para creación de plazas</t>
  </si>
  <si>
    <t>Aportaciones federales a las entidades federativas y municipios para otras medidas de carácter laboral y económicas</t>
  </si>
  <si>
    <t>Aportaciones federales a las entidades federativas y municipios para aportaciones al FOVISSSTE</t>
  </si>
  <si>
    <t>Aportaciones federales a las entidades federativas y municipios por previsiones para aportaciones al ISSSTE</t>
  </si>
  <si>
    <t>Aportaciones federales a las entidades federativas y municipios por previsiones para aportaciones al FOVISSSTE</t>
  </si>
  <si>
    <t>Aportaciones federales a las entidades federativas y municipios para aportaciones al sistema de ahorro para el retiro</t>
  </si>
  <si>
    <t>Aportaciones federales a las entidades federativas y municipios para aportaciones al seguro de cesantía en edad avanzada y vejez</t>
  </si>
  <si>
    <t>Aportaciones federales a las entidades federativas y municipios para los depósitos al ahorro solidario</t>
  </si>
  <si>
    <t>Aportaciones federales a las entidades federativas y municipios por previsiones para aportaciones al sistema de ahorro para el retiro</t>
  </si>
  <si>
    <t>Aportaciones federales a las entidades federativas y municipios por previsiones para aportaciones al seguro de cesantía en edad avanzada y vejez</t>
  </si>
  <si>
    <t>Aportaciones federales a las entidades federativas y municipios por previsiones para los depósitos al ahorro solidario</t>
  </si>
  <si>
    <t>Aportaciones de la Federación a los organismos del Sistema Nacional de Coordinación Fiscal</t>
  </si>
  <si>
    <t>Aportaciones de la federación al sistema de protección social</t>
  </si>
  <si>
    <t>Asignaciones compensatorias a entidades federativas</t>
  </si>
  <si>
    <t>Convenios de Reasignación</t>
  </si>
  <si>
    <t>Amortización de la deuda interna con instituciones de crédito</t>
  </si>
  <si>
    <t>Amortización de la deuda interna derivada de proyectos de infraestructura productiva de largo plazo</t>
  </si>
  <si>
    <t>Amortización de la deuda por emisión de valores gubernamentales</t>
  </si>
  <si>
    <t>Amortización de arrendamientos financieros nacionales</t>
  </si>
  <si>
    <t>Amortización de arrendamientos financieros especiales</t>
  </si>
  <si>
    <t>Amortización de la deuda externa con instituciones de crédito</t>
  </si>
  <si>
    <t>Amortización de la deuda externa derivada de proyectos de infraestructura productiva de largo plazo</t>
  </si>
  <si>
    <t>Amortización de la deuda con organismos financieros internacionales</t>
  </si>
  <si>
    <t>Amortización de la deuda bilateral</t>
  </si>
  <si>
    <t>Amortización de la deuda externa por bonos</t>
  </si>
  <si>
    <t>Amortización de arrendamientos financieros internacionales</t>
  </si>
  <si>
    <t>Intereses de la deuda interna con instituciones de crédito</t>
  </si>
  <si>
    <t>Intereses de la deuda interna derivada de proyectos de infraestructura productiva de largo plazo</t>
  </si>
  <si>
    <t>Intereses derivados de la colocación de valores gubernamentales</t>
  </si>
  <si>
    <t>Intereses por arrendamientos financieros nacionales</t>
  </si>
  <si>
    <t>Intereses por arrendamientos financieros especiales</t>
  </si>
  <si>
    <t>Intereses de la deuda externa con instituciones de crédito</t>
  </si>
  <si>
    <t>Intereses de la deuda externa derivada de proyectos de infraestructura productiva de largo plazo</t>
  </si>
  <si>
    <t>Intereses de la deuda con organismos financieros internacionales</t>
  </si>
  <si>
    <t>Intereses de la deuda bilateral</t>
  </si>
  <si>
    <t>Intereses derivados de la colocación externa de bonos</t>
  </si>
  <si>
    <t>Intereses por arrendamientos financieros internacionales</t>
  </si>
  <si>
    <t>Comisiones de la deuda interna</t>
  </si>
  <si>
    <t>Comisiones de la deuda externa</t>
  </si>
  <si>
    <t>Gastos de la deuda interna</t>
  </si>
  <si>
    <t>Gastos de la deuda externa</t>
  </si>
  <si>
    <t>Costo por coberturas</t>
  </si>
  <si>
    <t>Apoyos a intermediarios financieros</t>
  </si>
  <si>
    <t>Apoyos a ahorradores y deudores de la banca</t>
  </si>
  <si>
    <t>Adeudos de ejercicios fiscales anteriores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</si>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</sst>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0"/>
      <name val="Calibri"/>
    </font>
    <font/>
    <font>
      <sz val="8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4" xfId="0" applyFont="1" applyNumberFormat="1"/>
    <xf borderId="1" fillId="2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0" fillId="0" fontId="1" numFmtId="4" xfId="0" applyFont="1" applyNumberFormat="1"/>
    <xf borderId="0" fillId="0" fontId="2" numFmtId="164" xfId="0" applyFont="1" applyNumberFormat="1"/>
    <xf borderId="3" fillId="3" fontId="2" numFmtId="0" xfId="0" applyAlignment="1" applyBorder="1" applyFill="1" applyFont="1">
      <alignment horizontal="center" shrinkToFit="0" vertical="center" wrapText="1"/>
    </xf>
    <xf borderId="3" fillId="3" fontId="2" numFmtId="4" xfId="0" applyAlignment="1" applyBorder="1" applyFont="1" applyNumberFormat="1">
      <alignment horizontal="center" vertical="center"/>
    </xf>
    <xf borderId="0" fillId="0" fontId="2" numFmtId="0" xfId="0" applyFont="1"/>
    <xf borderId="3" fillId="0" fontId="2" numFmtId="0" xfId="0" applyAlignment="1" applyBorder="1" applyFont="1">
      <alignment horizontal="left" vertical="center"/>
    </xf>
    <xf borderId="3" fillId="0" fontId="2" numFmtId="4" xfId="0" applyAlignment="1" applyBorder="1" applyFont="1" applyNumberFormat="1">
      <alignment vertical="center"/>
    </xf>
    <xf borderId="3" fillId="2" fontId="3" numFmtId="0" xfId="0" applyAlignment="1" applyBorder="1" applyFont="1">
      <alignment vertical="center"/>
    </xf>
    <xf borderId="3" fillId="2" fontId="3" numFmtId="4" xfId="0" applyAlignment="1" applyBorder="1" applyFont="1" applyNumberFormat="1">
      <alignment vertical="center"/>
    </xf>
    <xf borderId="0" fillId="0" fontId="5" numFmtId="0" xfId="0" applyFont="1"/>
    <xf borderId="4" fillId="4" fontId="2" numFmtId="0" xfId="0" applyAlignment="1" applyBorder="1" applyFill="1" applyFont="1">
      <alignment horizontal="left"/>
    </xf>
    <xf borderId="4" fillId="4" fontId="2" numFmtId="0" xfId="0" applyBorder="1" applyFont="1"/>
    <xf borderId="5" fillId="0" fontId="6" numFmtId="0" xfId="0" applyAlignment="1" applyBorder="1" applyFont="1">
      <alignment horizontal="center" vertical="center"/>
    </xf>
    <xf borderId="5" fillId="0" fontId="4" numFmtId="0" xfId="0" applyBorder="1" applyFont="1"/>
    <xf borderId="3" fillId="0" fontId="2" numFmtId="0" xfId="0" applyBorder="1" applyFont="1"/>
    <xf borderId="3" fillId="0" fontId="2" numFmtId="4" xfId="0" applyBorder="1" applyFont="1" applyNumberFormat="1"/>
    <xf borderId="3" fillId="5" fontId="2" numFmtId="4" xfId="0" applyBorder="1" applyFill="1" applyFont="1" applyNumberFormat="1"/>
    <xf borderId="0" fillId="0" fontId="7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390" sheet="BASE AC01 2025"/>
  </cacheSource>
  <cacheFields>
    <cacheField name="Ramo" numFmtId="0">
      <sharedItems containsSemiMixedTypes="0" containsString="0" containsNumber="1" containsInteger="1">
        <n v="12.0"/>
      </sharedItems>
    </cacheField>
    <cacheField name="Unidad" numFmtId="0">
      <sharedItems>
        <s v="NDE"/>
      </sharedItems>
    </cacheField>
    <cacheField name="Finalidad" numFmtId="0">
      <sharedItems containsSemiMixedTypes="0" containsString="0" containsNumber="1" containsInteger="1">
        <n v="1.0"/>
        <n v="2.0"/>
        <n v="3.0"/>
      </sharedItems>
    </cacheField>
    <cacheField name="Funcion" numFmtId="0">
      <sharedItems containsSemiMixedTypes="0" containsString="0" containsNumber="1" containsInteger="1">
        <n v="3.0"/>
        <n v="8.0"/>
      </sharedItems>
    </cacheField>
    <cacheField name="Subfuncion" numFmtId="0">
      <sharedItems containsSemiMixedTypes="0" containsString="0" containsNumber="1" containsInteger="1">
        <n v="4.0"/>
        <n v="2.0"/>
        <n v="3.0"/>
        <n v="5.0"/>
        <n v="1.0"/>
      </sharedItems>
    </cacheField>
    <cacheField name="Reasignaciones" numFmtId="0">
      <sharedItems containsSemiMixedTypes="0" containsString="0" containsNumber="1" containsInteger="1">
        <n v="0.0"/>
      </sharedItems>
    </cacheField>
    <cacheField name="Actividad Institucional" numFmtId="0">
      <sharedItems containsSemiMixedTypes="0" containsString="0" containsNumber="1" containsInteger="1">
        <n v="1.0"/>
        <n v="18.0"/>
        <n v="19.0"/>
        <n v="2.0"/>
        <n v="14.0"/>
        <n v="24.0"/>
      </sharedItems>
    </cacheField>
    <cacheField name="PP" numFmtId="0">
      <sharedItems>
        <s v="O001"/>
        <s v="E023"/>
        <s v="E010"/>
        <s v="M001"/>
        <s v="P016"/>
        <s v="P020"/>
        <s v="E022"/>
      </sharedItems>
    </cacheField>
    <cacheField name="Modalidad" numFmtId="0">
      <sharedItems>
        <s v="O"/>
        <s v="E"/>
        <s v="M"/>
        <s v="P"/>
      </sharedItems>
    </cacheField>
    <cacheField name="Programa" numFmtId="0">
      <sharedItems containsSemiMixedTypes="0" containsString="0" containsNumber="1" containsInteger="1">
        <n v="1.0"/>
        <n v="23.0"/>
        <n v="10.0"/>
        <n v="16.0"/>
        <n v="20.0"/>
        <n v="22.0"/>
      </sharedItems>
    </cacheField>
    <cacheField name="Capítulo" numFmtId="0">
      <sharedItems containsSemiMixedTypes="0" containsString="0" containsNumber="1" containsInteger="1">
        <n v="1000.0"/>
        <n v="3000.0"/>
        <n v="2000.0"/>
        <n v="7000.0"/>
        <n v="4000.0"/>
      </sharedItems>
    </cacheField>
    <cacheField name="Partida" numFmtId="0">
      <sharedItems containsSemiMixedTypes="0" containsString="0" containsNumber="1" containsInteger="1">
        <n v="11301.0"/>
        <n v="13101.0"/>
        <n v="13201.0"/>
        <n v="13202.0"/>
        <n v="13301.0"/>
        <n v="13404.0"/>
        <n v="13407.0"/>
        <n v="13410.0"/>
        <n v="14101.0"/>
        <n v="14105.0"/>
        <n v="14201.0"/>
        <n v="14301.0"/>
        <n v="14302.0"/>
        <n v="14401.0"/>
        <n v="14405.0"/>
        <n v="14406.0"/>
        <n v="15401.0"/>
        <n v="15402.0"/>
        <n v="15403.0"/>
        <n v="15901.0"/>
        <n v="17102.0"/>
        <n v="31101.0"/>
        <n v="31401.0"/>
        <n v="31701.0"/>
        <n v="32301.0"/>
        <n v="33801.0"/>
        <n v="33901.0"/>
        <n v="34501.0"/>
        <n v="35701.0"/>
        <n v="35801.0"/>
        <n v="35901.0"/>
        <n v="39801.0"/>
        <n v="12201.0"/>
        <n v="21101.0"/>
        <n v="21201.0"/>
        <n v="21501.0"/>
        <n v="21601.0"/>
        <n v="22104.0"/>
        <n v="22301.0"/>
        <n v="24201.0"/>
        <n v="24601.0"/>
        <n v="24701.0"/>
        <n v="24801.0"/>
        <n v="24901.0"/>
        <n v="25101.0"/>
        <n v="25301.0"/>
        <n v="25401.0"/>
        <n v="25501.0"/>
        <n v="26103.0"/>
        <n v="26105.0"/>
        <n v="27101.0"/>
        <n v="27501.0"/>
        <n v="29101.0"/>
        <n v="29201.0"/>
        <n v="29301.0"/>
        <n v="29401.0"/>
        <n v="29501.0"/>
        <n v="29801.0"/>
        <n v="29901.0"/>
        <n v="31201.0"/>
        <n v="31301.0"/>
        <n v="32502.0"/>
        <n v="32701.0"/>
        <n v="33104.0"/>
        <n v="33201.0"/>
        <n v="33301.0"/>
        <n v="33605.0"/>
        <n v="33903.0"/>
        <n v="34101.0"/>
        <n v="34401.0"/>
        <n v="35102.0"/>
        <n v="35201.0"/>
        <n v="35301.0"/>
        <n v="35401.0"/>
        <n v="35501.0"/>
        <n v="39202.0"/>
        <n v="39401.0"/>
        <n v="12301.0"/>
        <n v="13411.0"/>
        <n v="31801.0"/>
        <n v="33401.0"/>
        <n v="33604.0"/>
        <n v="37104.0"/>
        <n v="37106.0"/>
        <n v="37201.0"/>
        <n v="37602.0"/>
        <n v="21401.0"/>
        <n v="31802.0"/>
        <n v="33602.0"/>
        <n v="35101.0"/>
        <n v="37204.0"/>
        <n v="38201.0"/>
        <n v="22201.0"/>
        <n v="79902.0"/>
        <n v="21502.0"/>
        <n v="24101.0"/>
        <n v="32302.0"/>
        <n v="32601.0"/>
        <n v="33105.0"/>
        <n v="44401.0"/>
      </sharedItems>
    </cacheField>
    <cacheField name="Descripción partida" numFmtId="0">
      <sharedItems>
        <s v="Sueldos base"/>
        <s v="Prima quinquenal por años de servicios efectivos prestados"/>
        <s v="Primas de vacaciones y dominical"/>
        <s v="Aguinaldo o gratificación de fin de año"/>
        <s v="Remuneraciones por horas extraordinarias"/>
        <s v="Compensaciones por servicios eventuales"/>
        <s v="Compensaciones adicionales por servicios especiales"/>
        <s v="Compensación por actualización y formación académica"/>
        <s v="Aportaciones al ISSSTE"/>
        <s v="Aportaciones al seguro de cesantía en edad avanzada y vejez"/>
        <s v="Aportaciones al FOVISSSTE"/>
        <s v="Aportaciones al Sistema de Ahorro para el Retiro"/>
        <s v="Depósitos para el ahorro solidario"/>
        <s v="Cuotas para el seguro de vida del personal civil"/>
        <s v="Cuotas para el seguro colectivo de retiro"/>
        <s v="Seguro de responsabilidad civil, asistencia legal y otros seguros"/>
        <s v="Prestaciones establecidas por condiciones generales de trabajo o contratos colectivos de trabajo"/>
        <s v="Compensación garantizada"/>
        <s v="Asignaciones adicionales al sueldo"/>
        <s v="Otras prestaciones"/>
        <s v="Estímulos al personal operativo"/>
        <s v="Servicio de energía eléctrica"/>
        <s v="Servicio telefónico convencional"/>
        <s v="Servicios de conducción de señales analógicas y digitales"/>
        <s v="Arrendamiento de equipo y bienes informáticos"/>
        <s v="Servicios de vigilancia"/>
        <s v="Subcontratación de servicios con terceros"/>
        <s v="Seguros de bienes patrimoniales"/>
        <s v="Mantenimiento y conservación de maquinaria y equipo"/>
        <s v="Servicios de lavandería, limpieza e higiene"/>
        <s v="Servicios de jardinería y fumigación"/>
        <s v="Impuesto sobre nóminas"/>
        <s v="Sueldos base al personal eventual"/>
        <s v="Materiales y útiles de oficina"/>
        <s v="Materiales y útiles de impresión y reproducción"/>
        <s v="Material de apoyo informativo"/>
        <s v="Material de limpieza"/>
        <s v="Productos alimenticios para el personal en las instalaciones de las dependencias y entidades"/>
        <s v="Utensilios para el servicio de alimentación"/>
        <s v="Cemento y productos de concreto"/>
        <s v="Material eléctrico y electrónico"/>
        <s v="Artículos metálicos para la construcción"/>
        <s v="Materiales complementarios"/>
        <s v="Otros materiales y artículos de construcción y reparación"/>
        <s v="Productos químicos básicos"/>
        <s v="Medicinas y productos farmacéuticos"/>
        <s v="Materiales, accesorios y suministros médicos"/>
        <s v="Materiales, accesorios y suministros de laboratorio"/>
        <s v="Combustibles, lubricantes y aditivos para vehículos terrestres, aéreos, marítimos, lacustres y fluviales destinados a servicios administrativos"/>
        <s v="Combustibles, lubricantes y aditivos para maquinaria, equipo de producción y servicios administrativos"/>
        <s v="Vestuario y uniformes"/>
        <s v="Blancos y otros productos textiles, excepto prendas de vestir"/>
        <s v="Herramientas menores"/>
        <s v="Refacciones y accesorios menores de edificios"/>
        <s v="Refacciones y accesorios menores de mobiliario y equipo de administración, educacional y recreativo"/>
        <s v="Refacciones y accesorios para equipo de cómputo y telecomunicaciones"/>
        <s v="Refacciones y accesorios menores de equipo e instrumental médico y de laboratorio"/>
        <s v="Refacciones y accesorios menores de maquinaria y otros equipos"/>
        <s v="Refacciones y accesorios menores otros bienes muebles"/>
        <s v="Servicio de gas"/>
        <s v="Servicio de agua"/>
        <s v="Arrendamiento de vehículos terrestres, aéreos, marítimos, lacustres y fluviales para servicios públicos y la operación de programas públicos"/>
        <s v="Patentes, derechos de autor, regalías y otros"/>
        <s v="Otras asesorías para la operación de programas"/>
        <s v="Servicios de diseño, arquitectura, ingeniería y actividades relacionadas"/>
        <s v="Servicios de desarrollo de aplicaciones informáticas"/>
        <s v="Información en medios masivos derivada de la operación y administración de las dependencias y entidades"/>
        <s v="Servicios integrales"/>
        <s v="Servicios bancarios y financieros"/>
        <s v="Seguro de responsabilidad patrimonial del Estado"/>
        <s v="Mantenimiento y conservación de inmuebles para la prestación de servicios públicos"/>
        <s v="Mantenimiento y conservación de mobiliario y equipo de administración"/>
        <s v="Mantenimiento y conservación de bienes informáticos"/>
        <s v="Instalación, reparación y mantenimiento de equipo e instrumental médico y de laboratorio"/>
        <s v="Mantenimiento y conservación de vehículos terrestres, aéreos, marítimos, lacustres y fluviales"/>
        <s v="Otros impuestos y derechos"/>
        <s v="Erogaciones por resoluciones por autoridad competente"/>
        <s v="Retribuciones por servicios de carácter social"/>
        <s v="Compensaciones a médicos residentes"/>
        <s v="Servicio postal"/>
        <s v="Servicios para capacitación a servidores públicos"/>
        <s v="Impresión y elaboración de material informativo derivado de la operación y administración de las dependencias y entidades"/>
        <s v="Pasajes aéreos nacionales para servidores públicos de mando en el desempeño de comisiones y funciones oficiales"/>
        <s v="Pasajes aéreos internacionales para servidores públicos en el desempeño de comisiones y funciones oficiales"/>
        <s v="Pasajes terrestres nacionales para labores en campo y de supervisión"/>
        <s v="Viáticos en el extranjero para servidores públicos en el desempeño de comisiones y funciones oficiales"/>
        <s v="Materiales y útiles consumibles para el procesamiento en equipos y bienes informáticos"/>
        <s v="Servicio telegráfico"/>
        <s v="Otros servicios comerciales"/>
        <s v="Mantenimiento y conservación de inmuebles para la prestación de servicios administrativos"/>
        <s v="Pasajes terrestres nacionales para servidores públicos de mando en el desempeño de comisiones y funciones oficiales"/>
        <s v="Gastos de orden social"/>
        <s v="Productos alimenticios para animales"/>
        <s v="Provisiones para Erogaciones Especiales"/>
        <s v="Material para información en actividades de investigación científica y tecnológica"/>
        <s v="Productos minerales no metálicos"/>
        <s v="Arrendamiento de mobiliario"/>
        <s v="Arrendamiento de maquinaria y equipo"/>
        <s v="Servicios relacionados con procedimientos jurisdiccionales"/>
        <s v="Apoyos a la investigación científica y tecnológica de instituciones académicas y sector público"/>
      </sharedItems>
    </cacheField>
    <cacheField name="Tipo de Gasto" numFmtId="0">
      <sharedItems containsSemiMixedTypes="0" containsString="0" containsNumber="1" containsInteger="1">
        <n v="1.0"/>
      </sharedItems>
    </cacheField>
    <cacheField name="Fuente de Financiamiento" numFmtId="0">
      <sharedItems containsSemiMixedTypes="0" containsString="0" containsNumber="1" containsInteger="1">
        <n v="1.0"/>
        <n v="4.0"/>
      </sharedItems>
    </cacheField>
    <cacheField name="Entidad Federativa" numFmtId="0">
      <sharedItems containsSemiMixedTypes="0" containsString="0" containsNumber="1" containsInteger="1">
        <n v="9.0"/>
      </sharedItems>
    </cacheField>
    <cacheField name="Clave de Cartera" numFmtId="0">
      <sharedItems containsSemiMixedTypes="0" containsString="0" containsNumber="1" containsInteger="1">
        <n v="0.0"/>
      </sharedItems>
    </cacheField>
    <cacheField name="Original" numFmtId="0">
      <sharedItems containsSemiMixedTypes="0" containsString="0" containsNumber="1" containsInteger="1">
        <n v="1782556.0"/>
        <n v="41993.0"/>
        <n v="74134.0"/>
        <n v="237320.0"/>
        <n v="9132.0"/>
        <n v="23694.0"/>
        <n v="190950.0"/>
        <n v="720504.0"/>
        <n v="560060.0"/>
        <n v="104739.0"/>
        <n v="102548.0"/>
        <n v="41019.0"/>
        <n v="28937.0"/>
        <n v="33234.0"/>
        <n v="1012.0"/>
        <n v="996.0"/>
        <n v="70400.0"/>
        <n v="85029.0"/>
        <n v="380547.0"/>
        <n v="1120247.0"/>
        <n v="169709.0"/>
        <n v="63599.0"/>
        <n v="14350.0"/>
        <n v="11135.0"/>
        <n v="944.0"/>
        <n v="6434.0"/>
        <n v="5000.0"/>
        <n v="2294.0"/>
        <n v="23654.0"/>
        <n v="199017.0"/>
        <n v="30000.0"/>
        <n v="104130.0"/>
        <n v="0.0"/>
        <n v="40424.0"/>
        <n v="156144.0"/>
        <n v="13000.0"/>
        <n v="2770.0"/>
        <n v="600.0"/>
        <n v="94643.0"/>
        <n v="1.67880258E8"/>
        <n v="3954856.0"/>
        <n v="6981832.0"/>
        <n v="2.2350668E7"/>
        <n v="860050.0"/>
        <n v="2231429.0"/>
        <n v="1.7983755E7"/>
        <n v="6.7856808E7"/>
        <n v="2.935229E7"/>
        <n v="9864416.0"/>
        <n v="9658008.0"/>
        <n v="3863203.0"/>
        <n v="2725309.0"/>
        <n v="2746508.0"/>
        <n v="142351.0"/>
        <n v="93788.0"/>
        <n v="6630253.0"/>
        <n v="8007964.0"/>
        <n v="3.5839789E7"/>
        <n v="1.05388992E8"/>
        <n v="1.5983147E7"/>
        <n v="580569.0"/>
        <n v="73539.0"/>
        <n v="2496.0"/>
        <n v="7072.0"/>
        <n v="485852.0"/>
        <n v="31731.0"/>
        <n v="24757.0"/>
        <n v="50000.0"/>
        <n v="2000.0"/>
        <n v="20000.0"/>
        <n v="25000.0"/>
        <n v="7455967.0"/>
        <n v="600000.0"/>
        <n v="2.0667522E7"/>
        <n v="2366503.0"/>
        <n v="7439511.0"/>
        <n v="2150000.0"/>
        <n v="1500542.0"/>
        <n v="100000.0"/>
        <n v="520000.0"/>
        <n v="62400.0"/>
        <n v="1942374.0"/>
        <n v="2000000.0"/>
        <n v="1026225.0"/>
        <n v="550000.0"/>
        <n v="584000.0"/>
        <n v="3000.0"/>
        <n v="129515.0"/>
        <n v="2600897.0"/>
        <n v="728991.0"/>
        <n v="6386096.0"/>
        <n v="1200000.0"/>
        <n v="217232.0"/>
        <n v="42494.0"/>
        <n v="318536.0"/>
        <n v="63000.0"/>
        <n v="2642940.0"/>
        <n v="1295494.0"/>
        <n v="657664.0"/>
        <n v="74880.0"/>
        <n v="532290.0"/>
        <n v="350000.0"/>
        <n v="2115653.0"/>
        <n v="200000.0"/>
        <n v="210000.0"/>
        <n v="3447066.0"/>
        <n v="340000.0"/>
        <n v="1.7473773E7"/>
        <n v="245000.0"/>
        <n v="1.67342547E8"/>
        <n v="160000.0"/>
        <n v="130000.0"/>
        <n v="2996569.0"/>
        <n v="441233.0"/>
        <n v="208000.0"/>
        <n v="408282.0"/>
        <n v="52000.0"/>
        <n v="53225.0"/>
        <n v="1000000.0"/>
        <n v="15000.0"/>
        <n v="1253026.0"/>
        <n v="6573106.0"/>
        <n v="1096000.0"/>
        <n v="112990.0"/>
        <n v="51600.0"/>
        <n v="150000.0"/>
        <n v="1.8391999E7"/>
        <n v="1.7612799E7"/>
        <n v="1.0276877E7"/>
        <n v="414915.0"/>
        <n v="732485.0"/>
        <n v="2344871.0"/>
        <n v="90231.0"/>
        <n v="234105.0"/>
        <n v="1886729.0"/>
        <n v="7119053.0"/>
        <n v="1.4787368E7"/>
        <n v="768249.0"/>
        <n v="1034904.0"/>
        <n v="1013250.0"/>
        <n v="405300.0"/>
        <n v="285921.0"/>
        <n v="328356.0"/>
        <n v="9997.0"/>
        <n v="9840.0"/>
        <n v="695598.0"/>
        <n v="840138.0"/>
        <n v="3760057.0"/>
        <n v="1.106878E7"/>
        <n v="1676838.0"/>
        <n v="2500.0"/>
        <n v="200.0"/>
        <n v="1000.0"/>
        <n v="1551393.0"/>
        <n v="172200.0"/>
        <n v="20118.0"/>
        <n v="3778.0"/>
        <n v="25786.0"/>
        <n v="26000.0"/>
        <n v="223610.0"/>
        <n v="47308.0"/>
        <n v="641380.0"/>
        <n v="3092462.0"/>
        <n v="255000.0"/>
        <n v="2567736.0"/>
        <n v="395335.0"/>
        <n v="1999674.0"/>
        <n v="91000.0"/>
        <n v="4197.0"/>
        <n v="1200.0"/>
        <n v="20800.0"/>
        <n v="14768.0"/>
        <n v="5200.0"/>
        <n v="1466.0"/>
        <n v="1175700.0"/>
        <n v="1.4803141E7"/>
        <n v="348729.0"/>
        <n v="615635.0"/>
        <n v="1970810.0"/>
        <n v="75836.0"/>
        <n v="196761.0"/>
        <n v="1585751.0"/>
        <n v="5983396.0"/>
        <n v="4650977.0"/>
        <n v="869813.0"/>
        <n v="851611.0"/>
        <n v="340644.0"/>
        <n v="240308.0"/>
        <n v="275973.0"/>
        <n v="8402.0"/>
        <n v="8270.0"/>
        <n v="584636.0"/>
        <n v="706117.0"/>
        <n v="3160238.0"/>
        <n v="9303046.0"/>
        <n v="1409343.0"/>
        <n v="80000.0"/>
        <n v="7139.0"/>
        <n v="40000.0"/>
        <n v="1649297.0"/>
        <n v="199459.0"/>
        <n v="54432.0"/>
        <n v="8499.0"/>
        <n v="29551.0"/>
        <n v="17000.0"/>
        <n v="100.0"/>
        <n v="84571.0"/>
        <n v="70708.0"/>
        <n v="6528.0"/>
        <n v="808.0"/>
        <n v="1012408.0"/>
        <n v="46500.0"/>
        <n v="475762.0"/>
        <n v="90000.0"/>
        <n v="307319.0"/>
        <n v="408721.0"/>
        <n v="2920807.0"/>
        <n v="13896.0"/>
        <n v="4800.0"/>
        <n v="29504.0"/>
        <n v="1365474.0"/>
        <n v="2138729.0"/>
        <n v="301948.0"/>
        <n v="158493.0"/>
        <n v="1511552.0"/>
        <n v="220992.0"/>
        <n v="721563.0"/>
        <n v="1474274.0"/>
        <n v="1224318.0"/>
        <n v="133055.0"/>
        <n v="7.646393E7"/>
        <n v="3.4387357E7"/>
        <n v="810083.0"/>
        <n v="1430107.0"/>
        <n v="4578147.0"/>
        <n v="176166.0"/>
        <n v="457070.0"/>
        <n v="3683660.0"/>
        <n v="1.3899289E7"/>
        <n v="6012308.0"/>
        <n v="2020554.0"/>
        <n v="1978275.0"/>
        <n v="791309.0"/>
        <n v="558232.0"/>
        <n v="641080.0"/>
        <n v="19519.0"/>
        <n v="19210.0"/>
        <n v="1358094.0"/>
        <n v="1640290.0"/>
        <n v="7341159.0"/>
        <n v="2.1610763E7"/>
        <n v="3273869.0"/>
        <n v="1247.0"/>
        <n v="2704.0"/>
        <n v="500.0"/>
        <n v="10000.0"/>
        <n v="300000.0"/>
        <n v="2267870.0"/>
        <n v="1300000.0"/>
        <n v="11000.0"/>
        <n v="1592153.0"/>
        <n v="500000.0"/>
        <n v="300.0"/>
        <n v="2692376.0"/>
        <n v="320000.0"/>
        <n v="1588405.0"/>
        <n v="6000.0"/>
        <n v="204165.0"/>
        <n v="38717.0"/>
        <n v="46810.0"/>
        <n v="47000.0"/>
        <n v="2800.0"/>
        <n v="4199000.0"/>
        <n v="975300.0"/>
        <n v="1040.0"/>
        <n v="215879.0"/>
        <n v="23920.0"/>
        <n v="279028.0"/>
        <n v="11200.0"/>
        <n v="1970635.0"/>
        <n v="178500.0"/>
        <n v="1.0633766E7"/>
        <n v="8760166.0"/>
        <n v="897902.0"/>
        <n v="662925.0"/>
        <n v="398913.0"/>
        <n v="357492.0"/>
        <n v="1382267.0"/>
        <n v="1339777.0"/>
        <n v="7679566.0"/>
        <n v="3563.0"/>
        <n v="1800.0"/>
        <n v="2438194.0"/>
      </sharedItems>
    </cacheField>
    <cacheField name="Modificado" numFmtId="0">
      <sharedItems containsSemiMixedTypes="0" containsString="0" containsNumber="1" containsInteger="1">
        <n v="1781281.0"/>
        <n v="41993.0"/>
        <n v="74134.0"/>
        <n v="253460.0"/>
        <n v="6400.0"/>
        <n v="26466.0"/>
        <n v="190950.0"/>
        <n v="712071.0"/>
        <n v="443132.0"/>
        <n v="104739.0"/>
        <n v="102548.0"/>
        <n v="41019.0"/>
        <n v="28937.0"/>
        <n v="33234.0"/>
        <n v="1341.0"/>
        <n v="1902.0"/>
        <n v="85525.0"/>
        <n v="85029.0"/>
        <n v="366099.0"/>
        <n v="1105122.0"/>
        <n v="169709.0"/>
        <n v="63599.0"/>
        <n v="78052.0"/>
        <n v="11135.0"/>
        <n v="472.0"/>
        <n v="1927.0"/>
        <n v="0.0"/>
        <n v="25776.0"/>
        <n v="199017.0"/>
        <n v="104130.0"/>
        <n v="9024.0"/>
        <n v="17160.0"/>
        <n v="3712.0"/>
        <n v="93735.0"/>
        <n v="3197.0"/>
        <n v="117524.0"/>
        <n v="2.19176585E8"/>
        <n v="3.3484005E7"/>
        <n v="4357776.0"/>
        <n v="1.1570305E7"/>
        <n v="2.9629732E7"/>
        <n v="590820.0"/>
        <n v="3678944.0"/>
        <n v="2.1537902E7"/>
        <n v="8.0683726E7"/>
        <n v="2.4924648E7"/>
        <n v="8588088.0"/>
        <n v="1.1040989E7"/>
        <n v="5162743.0"/>
        <n v="3977334.0"/>
        <n v="3008311.0"/>
        <n v="165536.0"/>
        <n v="177364.0"/>
        <n v="7345482.0"/>
        <n v="8556972.0"/>
        <n v="4.1242819E7"/>
        <n v="1.22779886E8"/>
        <n v="2.7964246E7"/>
        <n v="355766.0"/>
        <n v="77222.0"/>
        <n v="26102.0"/>
        <n v="7072.0"/>
        <n v="250164.0"/>
        <n v="31549.0"/>
        <n v="436766.0"/>
        <n v="2000.0"/>
        <n v="17791.0"/>
        <n v="39353.0"/>
        <n v="28392.0"/>
        <n v="15340.0"/>
        <n v="754167.0"/>
        <n v="15255.0"/>
        <n v="1.4011403E7"/>
        <n v="1219223.0"/>
        <n v="1.6101367E7"/>
        <n v="1318120.0"/>
        <n v="1.1679564E7"/>
        <n v="1955344.0"/>
        <n v="41455.0"/>
        <n v="225115.0"/>
        <n v="520000.0"/>
        <n v="3691873.0"/>
        <n v="4931.0"/>
        <n v="142400.0"/>
        <n v="10755.0"/>
        <n v="6655.0"/>
        <n v="83997.0"/>
        <n v="2334.0"/>
        <n v="149675.0"/>
        <n v="13182.0"/>
        <n v="28334.0"/>
        <n v="80379.0"/>
        <n v="2600897.0"/>
        <n v="452896.0"/>
        <n v="760021.0"/>
        <n v="3834347.0"/>
        <n v="217232.0"/>
        <n v="26812.0"/>
        <n v="182130.0"/>
        <n v="5753893.0"/>
        <n v="657664.0"/>
        <n v="187695.0"/>
        <n v="4673447.0"/>
        <n v="16124.0"/>
        <n v="2122941.0"/>
        <n v="210000.0"/>
        <n v="9793941.0"/>
        <n v="4.2577965E7"/>
        <n v="546790.0"/>
        <n v="8.2893744E7"/>
        <n v="3604265.0"/>
        <n v="130000.0"/>
        <n v="64057.0"/>
        <n v="1088296.0"/>
        <n v="605860.0"/>
        <n v="885859.0"/>
        <n v="52000.0"/>
        <n v="32266.0"/>
        <n v="1.0026021E7"/>
        <n v="84346.0"/>
        <n v="29886.0"/>
        <n v="1998351.0"/>
        <n v="23606.0"/>
        <n v="1.1131309E7"/>
        <n v="325626.0"/>
        <n v="56418.0"/>
        <n v="547108.0"/>
        <n v="1.8391999E7"/>
        <n v="1.7576603E7"/>
        <n v="1.1133228E7"/>
        <n v="414915.0"/>
        <n v="732485.0"/>
        <n v="2367246.0"/>
        <n v="63219.0"/>
        <n v="288674.0"/>
        <n v="1886729.0"/>
        <n v="6923302.0"/>
        <n v="1.6006747E7"/>
        <n v="676592.0"/>
        <n v="1034904.0"/>
        <n v="1013250.0"/>
        <n v="405300.0"/>
        <n v="285921.0"/>
        <n v="328356.0"/>
        <n v="12296.0"/>
        <n v="16180.0"/>
        <n v="876527.0"/>
        <n v="840138.0"/>
        <n v="3661282.0"/>
        <n v="1.0887851E7"/>
        <n v="1676838.0"/>
        <n v="22193.0"/>
        <n v="360.0"/>
        <n v="26636.0"/>
        <n v="1243.0"/>
        <n v="757.0"/>
        <n v="634.0"/>
        <n v="1551393.0"/>
        <n v="245548.0"/>
        <n v="20118.0"/>
        <n v="1889.0"/>
        <n v="11571.0"/>
        <n v="200.0"/>
        <n v="1387553.0"/>
        <n v="32784.0"/>
        <n v="966177.0"/>
        <n v="2964549.0"/>
        <n v="2331149.0"/>
        <n v="105345.0"/>
        <n v="99957.0"/>
        <n v="14161.0"/>
        <n v="638364.0"/>
        <n v="6758.0"/>
        <n v="20800.0"/>
        <n v="14768.0"/>
        <n v="5200.0"/>
        <n v="1466.0"/>
        <n v="1470226.0"/>
        <n v="1.4711608E7"/>
        <n v="98237.0"/>
        <n v="348729.0"/>
        <n v="619756.0"/>
        <n v="2236743.0"/>
        <n v="53135.0"/>
        <n v="303589.0"/>
        <n v="1605398.0"/>
        <n v="5791524.0"/>
        <n v="124831.0"/>
        <n v="3533881.0"/>
        <n v="873556.0"/>
        <n v="755645.0"/>
        <n v="343002.0"/>
        <n v="240308.0"/>
        <n v="277505.0"/>
        <n v="10372.0"/>
        <n v="13705.0"/>
        <n v="584636.0"/>
        <n v="706117.0"/>
        <n v="2981352.0"/>
        <n v="9303046.0"/>
        <n v="1409343.0"/>
        <n v="66892.0"/>
        <n v="570.0"/>
        <n v="3284.0"/>
        <n v="27588.0"/>
        <n v="8286.0"/>
        <n v="13405.0"/>
        <n v="899.0"/>
        <n v="17300.0"/>
        <n v="6885.0"/>
        <n v="4304.0"/>
        <n v="6984.0"/>
        <n v="16904.0"/>
        <n v="1569251.0"/>
        <n v="239029.0"/>
        <n v="54432.0"/>
        <n v="4250.0"/>
        <n v="10000.0"/>
        <n v="4469.0"/>
        <n v="100.0"/>
        <n v="1119791.0"/>
        <n v="130204.0"/>
        <n v="37120.0"/>
        <n v="808.0"/>
        <n v="1216768.0"/>
        <n v="468571.0"/>
        <n v="76658.0"/>
        <n v="112956.0"/>
        <n v="147292.0"/>
        <n v="13215.0"/>
        <n v="1201749.0"/>
        <n v="22985.0"/>
        <n v="29504.0"/>
        <n v="5444.0"/>
        <n v="93980.0"/>
        <n v="1.0404058E7"/>
        <n v="29811.0"/>
        <n v="1515412.0"/>
        <n v="814245.0"/>
        <n v="1167686.0"/>
        <n v="145000.0"/>
        <n v="717693.0"/>
        <n v="1370574.0"/>
        <n v="1224318.0"/>
        <n v="146173.0"/>
        <n v="59586.0"/>
        <n v="1.0176085E7"/>
        <n v="2741073.0"/>
        <n v="756054.0"/>
        <n v="4683955.0"/>
        <n v="1654664.0"/>
        <n v="9206740.0"/>
        <n v="9158081.0"/>
        <n v="188693.0"/>
        <n v="2.7566453E7"/>
        <n v="3.4367603E7"/>
        <n v="810083.0"/>
        <n v="1430107.0"/>
        <n v="1261402.0"/>
        <n v="123431.0"/>
        <n v="511048.0"/>
        <n v="3683660.0"/>
        <n v="1.3733164E7"/>
        <n v="4737666.0"/>
        <n v="2020554.0"/>
        <n v="1978275.0"/>
        <n v="791309.0"/>
        <n v="558232.0"/>
        <n v="641080.0"/>
        <n v="24444.0"/>
        <n v="32796.0"/>
        <n v="1409990.0"/>
        <n v="1640290.0"/>
        <n v="7071088.0"/>
        <n v="2.3301659E7"/>
        <n v="5021150.0"/>
        <n v="48846.0"/>
        <n v="2704.0"/>
        <n v="96.0"/>
        <n v="9008.0"/>
        <n v="55472.0"/>
        <n v="250.0"/>
        <n v="32609.0"/>
        <n v="4832.0"/>
        <n v="34395.0"/>
        <n v="36468.0"/>
        <n v="2395587.0"/>
        <n v="1678639.0"/>
        <n v="81478.0"/>
        <n v="757739.0"/>
        <n v="5621.0"/>
        <n v="514956.0"/>
        <n v="74077.0"/>
        <n v="237893.0"/>
        <n v="7798.0"/>
        <n v="4120.0"/>
        <n v="2280.0"/>
        <n v="17999.0"/>
        <n v="280.0"/>
        <n v="2692376.0"/>
        <n v="475026.0"/>
        <n v="325360.0"/>
        <n v="748453.0"/>
        <n v="204165.0"/>
        <n v="19358.0"/>
        <n v="21210.0"/>
        <n v="331.0"/>
        <n v="4873225.0"/>
        <n v="1040.0"/>
        <n v="433380.0"/>
        <n v="137500.0"/>
        <n v="11200.0"/>
        <n v="31102.0"/>
        <n v="21615.0"/>
        <n v="2783564.0"/>
        <n v="1.1590059E7"/>
        <n v="3108818.0"/>
        <n v="3536068.0"/>
        <n v="360348.0"/>
        <n v="716783.0"/>
        <n v="17980.0"/>
        <n v="1285604.0"/>
        <n v="1800.0"/>
        <n v="355933.0"/>
        <n v="10266.0"/>
        <n v="4562639.0"/>
        <n v="304151.0"/>
        <n v="2874390.0"/>
      </sharedItems>
    </cacheField>
    <cacheField name="Devengado" numFmtId="0">
      <sharedItems containsSemiMixedTypes="0" containsString="0" containsNumber="1" containsInteger="1">
        <n v="1781281.0"/>
        <n v="41993.0"/>
        <n v="74134.0"/>
        <n v="253460.0"/>
        <n v="6400.0"/>
        <n v="26466.0"/>
        <n v="190950.0"/>
        <n v="712071.0"/>
        <n v="443132.0"/>
        <n v="104739.0"/>
        <n v="102548.0"/>
        <n v="41019.0"/>
        <n v="28937.0"/>
        <n v="33234.0"/>
        <n v="1341.0"/>
        <n v="1902.0"/>
        <n v="85525.0"/>
        <n v="85029.0"/>
        <n v="366099.0"/>
        <n v="1105122.0"/>
        <n v="169709.0"/>
        <n v="63599.0"/>
        <n v="78052.0"/>
        <n v="11135.0"/>
        <n v="472.0"/>
        <n v="1927.0"/>
        <n v="0.0"/>
        <n v="25776.0"/>
        <n v="199017.0"/>
        <n v="104130.0"/>
        <n v="17160.0"/>
        <n v="3712.0"/>
        <n v="93735.0"/>
        <n v="3197.0"/>
        <n v="117524.0"/>
        <n v="2.19176585E8"/>
        <n v="3.3484005E7"/>
        <n v="4357776.0"/>
        <n v="1.1570305E7"/>
        <n v="2.9629732E7"/>
        <n v="590820.0"/>
        <n v="3678944.0"/>
        <n v="2.1537902E7"/>
        <n v="8.0683726E7"/>
        <n v="2.4924648E7"/>
        <n v="8588088.0"/>
        <n v="1.1040989E7"/>
        <n v="5162743.0"/>
        <n v="3977334.0"/>
        <n v="3008311.0"/>
        <n v="165536.0"/>
        <n v="177364.0"/>
        <n v="7345482.0"/>
        <n v="8556972.0"/>
        <n v="4.1242819E7"/>
        <n v="1.22779886E8"/>
        <n v="2.7964246E7"/>
        <n v="355766.0"/>
        <n v="25813.0"/>
        <n v="14946.0"/>
        <n v="250164.0"/>
        <n v="31541.0"/>
        <n v="411239.0"/>
        <n v="26034.0"/>
        <n v="27889.0"/>
        <n v="15340.0"/>
        <n v="754167.0"/>
        <n v="15254.0"/>
        <n v="1.4011403E7"/>
        <n v="1104080.0"/>
        <n v="1.6101367E7"/>
        <n v="440902.0"/>
        <n v="1.1679564E7"/>
        <n v="1288103.0"/>
        <n v="41455.0"/>
        <n v="91633.0"/>
        <n v="303002.0"/>
        <n v="3691873.0"/>
        <n v="4930.0"/>
        <n v="142400.0"/>
        <n v="8113.0"/>
        <n v="6655.0"/>
        <n v="79713.0"/>
        <n v="2154.0"/>
        <n v="149675.0"/>
        <n v="11456.0"/>
        <n v="28334.0"/>
        <n v="13859.0"/>
        <n v="2600897.0"/>
        <n v="450978.0"/>
        <n v="760021.0"/>
        <n v="3834347.0"/>
        <n v="217232.0"/>
        <n v="26811.0"/>
        <n v="182130.0"/>
        <n v="5753893.0"/>
        <n v="657664.0"/>
        <n v="187695.0"/>
        <n v="4349693.0"/>
        <n v="16124.0"/>
        <n v="2122941.0"/>
        <n v="191730.0"/>
        <n v="9793941.0"/>
        <n v="4.2577965E7"/>
        <n v="173256.0"/>
        <n v="8.2893744E7"/>
        <n v="3205903.0"/>
        <n v="129506.0"/>
        <n v="64056.0"/>
        <n v="1088296.0"/>
        <n v="605860.0"/>
        <n v="885859.0"/>
        <n v="7150.0"/>
        <n v="32266.0"/>
        <n v="1.0026021E7"/>
        <n v="61521.0"/>
        <n v="29885.0"/>
        <n v="1998351.0"/>
        <n v="23606.0"/>
        <n v="1.1131309E7"/>
        <n v="325626.0"/>
        <n v="15077.0"/>
        <n v="547107.0"/>
        <n v="1.8391999E7"/>
        <n v="1.7576603E7"/>
        <n v="1.1133228E7"/>
        <n v="414915.0"/>
        <n v="732485.0"/>
        <n v="2367246.0"/>
        <n v="63219.0"/>
        <n v="288674.0"/>
        <n v="1886729.0"/>
        <n v="6923302.0"/>
        <n v="1.6006747E7"/>
        <n v="676592.0"/>
        <n v="1034904.0"/>
        <n v="1013250.0"/>
        <n v="405300.0"/>
        <n v="285921.0"/>
        <n v="328356.0"/>
        <n v="12296.0"/>
        <n v="16180.0"/>
        <n v="876527.0"/>
        <n v="840138.0"/>
        <n v="3661282.0"/>
        <n v="1.0887851E7"/>
        <n v="1676838.0"/>
        <n v="9547.0"/>
        <n v="360.0"/>
        <n v="26506.0"/>
        <n v="150.0"/>
        <n v="757.0"/>
        <n v="57.0"/>
        <n v="1551393.0"/>
        <n v="245548.0"/>
        <n v="20118.0"/>
        <n v="1889.0"/>
        <n v="11571.0"/>
        <n v="22.0"/>
        <n v="1387553.0"/>
        <n v="32783.0"/>
        <n v="711070.0"/>
        <n v="2000.0"/>
        <n v="2964549.0"/>
        <n v="2331149.0"/>
        <n v="71886.0"/>
        <n v="99957.0"/>
        <n v="14161.0"/>
        <n v="638364.0"/>
        <n v="6758.0"/>
        <n v="1470226.0"/>
        <n v="1.4711608E7"/>
        <n v="98237.0"/>
        <n v="348729.0"/>
        <n v="619756.0"/>
        <n v="2236743.0"/>
        <n v="53135.0"/>
        <n v="303589.0"/>
        <n v="1605398.0"/>
        <n v="5791524.0"/>
        <n v="124831.0"/>
        <n v="3533881.0"/>
        <n v="873556.0"/>
        <n v="755645.0"/>
        <n v="343002.0"/>
        <n v="240308.0"/>
        <n v="277505.0"/>
        <n v="10372.0"/>
        <n v="13705.0"/>
        <n v="584636.0"/>
        <n v="706117.0"/>
        <n v="2981352.0"/>
        <n v="9303046.0"/>
        <n v="1409343.0"/>
        <n v="66891.0"/>
        <n v="3283.0"/>
        <n v="27587.0"/>
        <n v="8286.0"/>
        <n v="13405.0"/>
        <n v="899.0"/>
        <n v="16941.0"/>
        <n v="5861.0"/>
        <n v="4304.0"/>
        <n v="6983.0"/>
        <n v="16904.0"/>
        <n v="1569251.0"/>
        <n v="239029.0"/>
        <n v="54432.0"/>
        <n v="4250.0"/>
        <n v="8008.0"/>
        <n v="4468.0"/>
        <n v="1119791.0"/>
        <n v="130204.0"/>
        <n v="37120.0"/>
        <n v="366.0"/>
        <n v="1216768.0"/>
        <n v="468571.0"/>
        <n v="62305.0"/>
        <n v="112956.0"/>
        <n v="147292.0"/>
        <n v="13215.0"/>
        <n v="1201749.0"/>
        <n v="22985.0"/>
        <n v="21372.0"/>
        <n v="4745.0"/>
        <n v="88008.0"/>
        <n v="1.0404058E7"/>
        <n v="29811.0"/>
        <n v="1515412.0"/>
        <n v="814245.0"/>
        <n v="1167686.0"/>
        <n v="145000.0"/>
        <n v="717693.0"/>
        <n v="1370574.0"/>
        <n v="1224318.0"/>
        <n v="146173.0"/>
        <n v="59586.0"/>
        <n v="1.0176085E7"/>
        <n v="2741073.0"/>
        <n v="756054.0"/>
        <n v="4683955.0"/>
        <n v="1654664.0"/>
        <n v="9206740.0"/>
        <n v="9158081.0"/>
        <n v="188693.0"/>
        <n v="2.7566453E7"/>
        <n v="3.4367603E7"/>
        <n v="810083.0"/>
        <n v="1430107.0"/>
        <n v="1261402.0"/>
        <n v="123431.0"/>
        <n v="511048.0"/>
        <n v="3683660.0"/>
        <n v="1.3733164E7"/>
        <n v="4737666.0"/>
        <n v="2020554.0"/>
        <n v="1978275.0"/>
        <n v="791309.0"/>
        <n v="558232.0"/>
        <n v="641080.0"/>
        <n v="24444.0"/>
        <n v="32796.0"/>
        <n v="1409990.0"/>
        <n v="1640290.0"/>
        <n v="7071088.0"/>
        <n v="2.3301659E7"/>
        <n v="5021150.0"/>
        <n v="21299.0"/>
        <n v="8917.0"/>
        <n v="10987.0"/>
        <n v="250.0"/>
        <n v="25976.0"/>
        <n v="4832.0"/>
        <n v="33643.0"/>
        <n v="35243.0"/>
        <n v="2395587.0"/>
        <n v="1477021.0"/>
        <n v="76774.0"/>
        <n v="757739.0"/>
        <n v="5619.0"/>
        <n v="514956.0"/>
        <n v="74077.0"/>
        <n v="237893.0"/>
        <n v="7797.0"/>
        <n v="4120.0"/>
        <n v="2280.0"/>
        <n v="11885.0"/>
        <n v="280.0"/>
        <n v="2692376.0"/>
        <n v="475026.0"/>
        <n v="325360.0"/>
        <n v="748453.0"/>
        <n v="204165.0"/>
        <n v="19358.0"/>
        <n v="21210.0"/>
        <n v="319.0"/>
        <n v="4873225.0"/>
        <n v="433380.0"/>
        <n v="137460.0"/>
        <n v="11200.0"/>
        <n v="31102.0"/>
        <n v="21614.0"/>
        <n v="1759.0"/>
        <n v="2783564.0"/>
        <n v="1.1590059E7"/>
        <n v="3100772.0"/>
        <n v="3536068.0"/>
        <n v="360348.0"/>
        <n v="716783.0"/>
        <n v="17980.0"/>
        <n v="1285604.0"/>
        <n v="355933.0"/>
        <n v="10266.0"/>
        <n v="4562639.0"/>
        <n v="304151.0"/>
        <n v="2874390.0"/>
      </sharedItems>
    </cacheField>
    <cacheField name="Ejercido" numFmtId="0">
      <sharedItems containsSemiMixedTypes="0" containsString="0" containsNumber="1" containsInteger="1">
        <n v="1781281.0"/>
        <n v="41993.0"/>
        <n v="74134.0"/>
        <n v="253460.0"/>
        <n v="6400.0"/>
        <n v="26466.0"/>
        <n v="190950.0"/>
        <n v="712071.0"/>
        <n v="443132.0"/>
        <n v="104739.0"/>
        <n v="102548.0"/>
        <n v="41019.0"/>
        <n v="28937.0"/>
        <n v="33234.0"/>
        <n v="1341.0"/>
        <n v="1902.0"/>
        <n v="85525.0"/>
        <n v="85029.0"/>
        <n v="366099.0"/>
        <n v="1105122.0"/>
        <n v="169709.0"/>
        <n v="63599.0"/>
        <n v="78052.0"/>
        <n v="11135.0"/>
        <n v="472.0"/>
        <n v="1927.0"/>
        <n v="0.0"/>
        <n v="25776.0"/>
        <n v="199017.0"/>
        <n v="104130.0"/>
        <n v="17160.0"/>
        <n v="3712.0"/>
        <n v="93735.0"/>
        <n v="3197.0"/>
        <n v="117524.0"/>
        <n v="2.19176585E8"/>
        <n v="3.3484005E7"/>
        <n v="4357776.0"/>
        <n v="1.1570305E7"/>
        <n v="2.9629732E7"/>
        <n v="590820.0"/>
        <n v="3678944.0"/>
        <n v="2.1537902E7"/>
        <n v="8.0683726E7"/>
        <n v="2.4924648E7"/>
        <n v="8588088.0"/>
        <n v="1.1040989E7"/>
        <n v="5162743.0"/>
        <n v="3977334.0"/>
        <n v="3008311.0"/>
        <n v="165536.0"/>
        <n v="177364.0"/>
        <n v="7345482.0"/>
        <n v="8556972.0"/>
        <n v="4.1242819E7"/>
        <n v="1.22779886E8"/>
        <n v="2.7964246E7"/>
        <n v="355766.0"/>
        <n v="25813.0"/>
        <n v="14946.0"/>
        <n v="250164.0"/>
        <n v="31541.0"/>
        <n v="411239.0"/>
        <n v="26034.0"/>
        <n v="27889.0"/>
        <n v="15340.0"/>
        <n v="754167.0"/>
        <n v="15254.0"/>
        <n v="1.4011403E7"/>
        <n v="1104080.0"/>
        <n v="1.6101367E7"/>
        <n v="440902.0"/>
        <n v="1.1679564E7"/>
        <n v="1288103.0"/>
        <n v="41455.0"/>
        <n v="91633.0"/>
        <n v="303002.0"/>
        <n v="3691873.0"/>
        <n v="4930.0"/>
        <n v="142400.0"/>
        <n v="8113.0"/>
        <n v="6655.0"/>
        <n v="79713.0"/>
        <n v="2154.0"/>
        <n v="149675.0"/>
        <n v="11456.0"/>
        <n v="28334.0"/>
        <n v="13859.0"/>
        <n v="2600897.0"/>
        <n v="450978.0"/>
        <n v="760021.0"/>
        <n v="3834347.0"/>
        <n v="217232.0"/>
        <n v="26811.0"/>
        <n v="182130.0"/>
        <n v="5753893.0"/>
        <n v="657664.0"/>
        <n v="187695.0"/>
        <n v="4349693.0"/>
        <n v="16124.0"/>
        <n v="2122941.0"/>
        <n v="191730.0"/>
        <n v="9793941.0"/>
        <n v="4.2577965E7"/>
        <n v="173256.0"/>
        <n v="8.2893744E7"/>
        <n v="3205903.0"/>
        <n v="129506.0"/>
        <n v="64056.0"/>
        <n v="1088296.0"/>
        <n v="605860.0"/>
        <n v="885859.0"/>
        <n v="7150.0"/>
        <n v="32266.0"/>
        <n v="1.0026021E7"/>
        <n v="61521.0"/>
        <n v="29885.0"/>
        <n v="1998351.0"/>
        <n v="23606.0"/>
        <n v="1.1131309E7"/>
        <n v="325626.0"/>
        <n v="15077.0"/>
        <n v="547107.0"/>
        <n v="1.8391999E7"/>
        <n v="1.7576603E7"/>
        <n v="1.1133228E7"/>
        <n v="414915.0"/>
        <n v="732485.0"/>
        <n v="2367246.0"/>
        <n v="63219.0"/>
        <n v="288674.0"/>
        <n v="1886729.0"/>
        <n v="6923302.0"/>
        <n v="1.6006747E7"/>
        <n v="676592.0"/>
        <n v="1034904.0"/>
        <n v="1013250.0"/>
        <n v="405300.0"/>
        <n v="285921.0"/>
        <n v="328356.0"/>
        <n v="12296.0"/>
        <n v="16180.0"/>
        <n v="876527.0"/>
        <n v="840138.0"/>
        <n v="3661282.0"/>
        <n v="1.0887851E7"/>
        <n v="1676838.0"/>
        <n v="9547.0"/>
        <n v="360.0"/>
        <n v="26506.0"/>
        <n v="150.0"/>
        <n v="757.0"/>
        <n v="57.0"/>
        <n v="1551393.0"/>
        <n v="245548.0"/>
        <n v="20118.0"/>
        <n v="1889.0"/>
        <n v="11571.0"/>
        <n v="22.0"/>
        <n v="1387553.0"/>
        <n v="32783.0"/>
        <n v="711070.0"/>
        <n v="2000.0"/>
        <n v="2964549.0"/>
        <n v="2331149.0"/>
        <n v="71886.0"/>
        <n v="99957.0"/>
        <n v="14161.0"/>
        <n v="638364.0"/>
        <n v="6758.0"/>
        <n v="1470226.0"/>
        <n v="1.4711608E7"/>
        <n v="98237.0"/>
        <n v="348729.0"/>
        <n v="619756.0"/>
        <n v="2236743.0"/>
        <n v="53135.0"/>
        <n v="303589.0"/>
        <n v="1605398.0"/>
        <n v="5791524.0"/>
        <n v="124831.0"/>
        <n v="3533881.0"/>
        <n v="873556.0"/>
        <n v="755645.0"/>
        <n v="343002.0"/>
        <n v="240308.0"/>
        <n v="277505.0"/>
        <n v="10372.0"/>
        <n v="13705.0"/>
        <n v="584636.0"/>
        <n v="706117.0"/>
        <n v="2981352.0"/>
        <n v="9303046.0"/>
        <n v="1409343.0"/>
        <n v="66891.0"/>
        <n v="3283.0"/>
        <n v="27587.0"/>
        <n v="8286.0"/>
        <n v="13405.0"/>
        <n v="899.0"/>
        <n v="16941.0"/>
        <n v="5861.0"/>
        <n v="4304.0"/>
        <n v="6983.0"/>
        <n v="16904.0"/>
        <n v="1569251.0"/>
        <n v="239029.0"/>
        <n v="54432.0"/>
        <n v="4250.0"/>
        <n v="8008.0"/>
        <n v="4468.0"/>
        <n v="1119791.0"/>
        <n v="130204.0"/>
        <n v="37120.0"/>
        <n v="366.0"/>
        <n v="1216768.0"/>
        <n v="468571.0"/>
        <n v="62305.0"/>
        <n v="112956.0"/>
        <n v="147292.0"/>
        <n v="13215.0"/>
        <n v="1201749.0"/>
        <n v="22985.0"/>
        <n v="21372.0"/>
        <n v="4745.0"/>
        <n v="88008.0"/>
        <n v="1.0404058E7"/>
        <n v="29811.0"/>
        <n v="1515412.0"/>
        <n v="814245.0"/>
        <n v="1167686.0"/>
        <n v="145000.0"/>
        <n v="717693.0"/>
        <n v="1370574.0"/>
        <n v="1224318.0"/>
        <n v="146173.0"/>
        <n v="59586.0"/>
        <n v="1.0176085E7"/>
        <n v="2741073.0"/>
        <n v="756054.0"/>
        <n v="4683955.0"/>
        <n v="1654664.0"/>
        <n v="9206740.0"/>
        <n v="9158081.0"/>
        <n v="188693.0"/>
        <n v="2.7566453E7"/>
        <n v="3.4367603E7"/>
        <n v="810083.0"/>
        <n v="1430107.0"/>
        <n v="1261402.0"/>
        <n v="123431.0"/>
        <n v="511048.0"/>
        <n v="3683660.0"/>
        <n v="1.3733164E7"/>
        <n v="4737666.0"/>
        <n v="2020554.0"/>
        <n v="1978275.0"/>
        <n v="791309.0"/>
        <n v="558232.0"/>
        <n v="641080.0"/>
        <n v="24444.0"/>
        <n v="32796.0"/>
        <n v="1409990.0"/>
        <n v="1640290.0"/>
        <n v="7071088.0"/>
        <n v="2.3301659E7"/>
        <n v="5021150.0"/>
        <n v="21299.0"/>
        <n v="8917.0"/>
        <n v="10987.0"/>
        <n v="250.0"/>
        <n v="25976.0"/>
        <n v="4832.0"/>
        <n v="33643.0"/>
        <n v="35243.0"/>
        <n v="2395587.0"/>
        <n v="1477021.0"/>
        <n v="76774.0"/>
        <n v="757739.0"/>
        <n v="5619.0"/>
        <n v="514956.0"/>
        <n v="74077.0"/>
        <n v="237893.0"/>
        <n v="7797.0"/>
        <n v="4120.0"/>
        <n v="2280.0"/>
        <n v="11885.0"/>
        <n v="280.0"/>
        <n v="2692376.0"/>
        <n v="475026.0"/>
        <n v="325360.0"/>
        <n v="748453.0"/>
        <n v="204165.0"/>
        <n v="19358.0"/>
        <n v="21210.0"/>
        <n v="319.0"/>
        <n v="4873225.0"/>
        <n v="433380.0"/>
        <n v="137460.0"/>
        <n v="11200.0"/>
        <n v="31102.0"/>
        <n v="21614.0"/>
        <n v="1759.0"/>
        <n v="2783564.0"/>
        <n v="1.1590059E7"/>
        <n v="3100772.0"/>
        <n v="3536068.0"/>
        <n v="360348.0"/>
        <n v="716783.0"/>
        <n v="17980.0"/>
        <n v="1285604.0"/>
        <n v="355933.0"/>
        <n v="10266.0"/>
        <n v="4562639.0"/>
        <n v="304151.0"/>
        <n v="2874390.0"/>
      </sharedItems>
    </cacheField>
    <cacheField name="Pagado" numFmtId="0">
      <sharedItems containsSemiMixedTypes="0" containsString="0" containsNumber="1" containsInteger="1">
        <n v="1781281.0"/>
        <n v="41993.0"/>
        <n v="74134.0"/>
        <n v="253460.0"/>
        <n v="6400.0"/>
        <n v="26466.0"/>
        <n v="190950.0"/>
        <n v="712071.0"/>
        <n v="443132.0"/>
        <n v="104739.0"/>
        <n v="102548.0"/>
        <n v="41019.0"/>
        <n v="28937.0"/>
        <n v="33234.0"/>
        <n v="1341.0"/>
        <n v="1902.0"/>
        <n v="85525.0"/>
        <n v="85029.0"/>
        <n v="366099.0"/>
        <n v="1105122.0"/>
        <n v="169709.0"/>
        <n v="63599.0"/>
        <n v="78052.0"/>
        <n v="11135.0"/>
        <n v="472.0"/>
        <n v="1927.0"/>
        <n v="0.0"/>
        <n v="25776.0"/>
        <n v="199017.0"/>
        <n v="104130.0"/>
        <n v="17160.0"/>
        <n v="3712.0"/>
        <n v="93735.0"/>
        <n v="3197.0"/>
        <n v="117524.0"/>
        <n v="2.19176585E8"/>
        <n v="3.3484005E7"/>
        <n v="4357776.0"/>
        <n v="1.1570305E7"/>
        <n v="2.9629732E7"/>
        <n v="590820.0"/>
        <n v="3678944.0"/>
        <n v="2.1537902E7"/>
        <n v="8.0683726E7"/>
        <n v="2.4924648E7"/>
        <n v="8588088.0"/>
        <n v="1.1040989E7"/>
        <n v="5162743.0"/>
        <n v="3977334.0"/>
        <n v="3008311.0"/>
        <n v="165536.0"/>
        <n v="177364.0"/>
        <n v="7345482.0"/>
        <n v="8556972.0"/>
        <n v="4.1242819E7"/>
        <n v="1.22779886E8"/>
        <n v="2.7964246E7"/>
        <n v="355766.0"/>
        <n v="25813.0"/>
        <n v="14946.0"/>
        <n v="250164.0"/>
        <n v="31541.0"/>
        <n v="411239.0"/>
        <n v="26034.0"/>
        <n v="27889.0"/>
        <n v="15340.0"/>
        <n v="754167.0"/>
        <n v="15254.0"/>
        <n v="1.4011403E7"/>
        <n v="1104080.0"/>
        <n v="1.6101367E7"/>
        <n v="440902.0"/>
        <n v="1.1679564E7"/>
        <n v="1288103.0"/>
        <n v="41455.0"/>
        <n v="91633.0"/>
        <n v="303002.0"/>
        <n v="3691873.0"/>
        <n v="4930.0"/>
        <n v="142400.0"/>
        <n v="8113.0"/>
        <n v="6655.0"/>
        <n v="79713.0"/>
        <n v="2154.0"/>
        <n v="149675.0"/>
        <n v="11456.0"/>
        <n v="28334.0"/>
        <n v="13859.0"/>
        <n v="2600897.0"/>
        <n v="450978.0"/>
        <n v="760021.0"/>
        <n v="3834347.0"/>
        <n v="217232.0"/>
        <n v="26811.0"/>
        <n v="182130.0"/>
        <n v="5753893.0"/>
        <n v="657664.0"/>
        <n v="187695.0"/>
        <n v="4349693.0"/>
        <n v="16124.0"/>
        <n v="2122941.0"/>
        <n v="191730.0"/>
        <n v="9793941.0"/>
        <n v="4.2577965E7"/>
        <n v="173256.0"/>
        <n v="8.2893744E7"/>
        <n v="3205903.0"/>
        <n v="129506.0"/>
        <n v="64056.0"/>
        <n v="1088296.0"/>
        <n v="605860.0"/>
        <n v="885859.0"/>
        <n v="7150.0"/>
        <n v="32266.0"/>
        <n v="1.0026021E7"/>
        <n v="61521.0"/>
        <n v="29885.0"/>
        <n v="1998351.0"/>
        <n v="23606.0"/>
        <n v="1.1131309E7"/>
        <n v="325626.0"/>
        <n v="15077.0"/>
        <n v="547107.0"/>
        <n v="1.8391999E7"/>
        <n v="1.7576603E7"/>
        <n v="1.1133228E7"/>
        <n v="414915.0"/>
        <n v="732485.0"/>
        <n v="2367246.0"/>
        <n v="63219.0"/>
        <n v="288674.0"/>
        <n v="1886729.0"/>
        <n v="6923302.0"/>
        <n v="1.6006747E7"/>
        <n v="676592.0"/>
        <n v="1034904.0"/>
        <n v="1013250.0"/>
        <n v="405300.0"/>
        <n v="285921.0"/>
        <n v="328356.0"/>
        <n v="12296.0"/>
        <n v="16180.0"/>
        <n v="876527.0"/>
        <n v="840138.0"/>
        <n v="3661282.0"/>
        <n v="1.0887851E7"/>
        <n v="1676838.0"/>
        <n v="9547.0"/>
        <n v="360.0"/>
        <n v="26506.0"/>
        <n v="150.0"/>
        <n v="757.0"/>
        <n v="57.0"/>
        <n v="1551393.0"/>
        <n v="245548.0"/>
        <n v="20118.0"/>
        <n v="1889.0"/>
        <n v="11571.0"/>
        <n v="22.0"/>
        <n v="1387553.0"/>
        <n v="32783.0"/>
        <n v="711070.0"/>
        <n v="2000.0"/>
        <n v="2964549.0"/>
        <n v="2331149.0"/>
        <n v="71886.0"/>
        <n v="99957.0"/>
        <n v="14161.0"/>
        <n v="638364.0"/>
        <n v="6758.0"/>
        <n v="1470226.0"/>
        <n v="1.4711608E7"/>
        <n v="98237.0"/>
        <n v="348729.0"/>
        <n v="619756.0"/>
        <n v="2236743.0"/>
        <n v="53135.0"/>
        <n v="303589.0"/>
        <n v="1605398.0"/>
        <n v="5791524.0"/>
        <n v="124831.0"/>
        <n v="3533881.0"/>
        <n v="873556.0"/>
        <n v="755645.0"/>
        <n v="343002.0"/>
        <n v="240308.0"/>
        <n v="277505.0"/>
        <n v="10372.0"/>
        <n v="13705.0"/>
        <n v="584636.0"/>
        <n v="706117.0"/>
        <n v="2981352.0"/>
        <n v="9303046.0"/>
        <n v="1409343.0"/>
        <n v="66891.0"/>
        <n v="3283.0"/>
        <n v="27587.0"/>
        <n v="8286.0"/>
        <n v="13405.0"/>
        <n v="899.0"/>
        <n v="16941.0"/>
        <n v="5861.0"/>
        <n v="4304.0"/>
        <n v="6983.0"/>
        <n v="16904.0"/>
        <n v="1569251.0"/>
        <n v="239029.0"/>
        <n v="54432.0"/>
        <n v="4250.0"/>
        <n v="8008.0"/>
        <n v="4468.0"/>
        <n v="1119791.0"/>
        <n v="130204.0"/>
        <n v="37120.0"/>
        <n v="366.0"/>
        <n v="1216768.0"/>
        <n v="468571.0"/>
        <n v="62305.0"/>
        <n v="112956.0"/>
        <n v="147292.0"/>
        <n v="13215.0"/>
        <n v="1201749.0"/>
        <n v="22985.0"/>
        <n v="21372.0"/>
        <n v="4745.0"/>
        <n v="88008.0"/>
        <n v="1.0404058E7"/>
        <n v="29811.0"/>
        <n v="1515412.0"/>
        <n v="814245.0"/>
        <n v="1167686.0"/>
        <n v="145000.0"/>
        <n v="717693.0"/>
        <n v="1370574.0"/>
        <n v="1224318.0"/>
        <n v="146173.0"/>
        <n v="59586.0"/>
        <n v="1.0176085E7"/>
        <n v="2741073.0"/>
        <n v="756054.0"/>
        <n v="4683955.0"/>
        <n v="1654664.0"/>
        <n v="9206740.0"/>
        <n v="9158081.0"/>
        <n v="188693.0"/>
        <n v="2.7566453E7"/>
        <n v="3.4367603E7"/>
        <n v="810083.0"/>
        <n v="1430107.0"/>
        <n v="1261402.0"/>
        <n v="123431.0"/>
        <n v="511048.0"/>
        <n v="3683660.0"/>
        <n v="1.3733164E7"/>
        <n v="4737666.0"/>
        <n v="2020554.0"/>
        <n v="1978275.0"/>
        <n v="791309.0"/>
        <n v="558232.0"/>
        <n v="641080.0"/>
        <n v="24444.0"/>
        <n v="32796.0"/>
        <n v="1409990.0"/>
        <n v="1640290.0"/>
        <n v="7071088.0"/>
        <n v="2.3301659E7"/>
        <n v="5021150.0"/>
        <n v="21299.0"/>
        <n v="8917.0"/>
        <n v="10987.0"/>
        <n v="250.0"/>
        <n v="25976.0"/>
        <n v="4832.0"/>
        <n v="33643.0"/>
        <n v="35243.0"/>
        <n v="2395587.0"/>
        <n v="1477021.0"/>
        <n v="76774.0"/>
        <n v="757739.0"/>
        <n v="5619.0"/>
        <n v="514956.0"/>
        <n v="74077.0"/>
        <n v="237893.0"/>
        <n v="7797.0"/>
        <n v="4120.0"/>
        <n v="2280.0"/>
        <n v="11885.0"/>
        <n v="280.0"/>
        <n v="2692376.0"/>
        <n v="475026.0"/>
        <n v="325360.0"/>
        <n v="748453.0"/>
        <n v="204165.0"/>
        <n v="19358.0"/>
        <n v="21210.0"/>
        <n v="319.0"/>
        <n v="4873225.0"/>
        <n v="433380.0"/>
        <n v="137460.0"/>
        <n v="11200.0"/>
        <n v="31102.0"/>
        <n v="21614.0"/>
        <n v="1759.0"/>
        <n v="2783564.0"/>
        <n v="1.1590059E7"/>
        <n v="3100772.0"/>
        <n v="3536068.0"/>
        <n v="360348.0"/>
        <n v="716783.0"/>
        <n v="17980.0"/>
        <n v="1285604.0"/>
        <n v="355933.0"/>
        <n v="10266.0"/>
        <n v="4562639.0"/>
        <n v="304151.0"/>
        <n v="287439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or Capítulo (2)" cacheId="0" dataCaption="" compact="0" compactData="0">
  <location ref="A3:D9" firstHeaderRow="0" firstDataRow="2" firstDataCol="0"/>
  <pivotFields>
    <pivotField name="Ramo" compact="0" outline="0" multipleItemSelectionAllowed="1" showAll="0">
      <items>
        <item x="0"/>
        <item t="default"/>
      </items>
    </pivotField>
    <pivotField name="Unidad" compact="0" outline="0" multipleItemSelectionAllowed="1" showAll="0">
      <items>
        <item x="0"/>
        <item t="default"/>
      </items>
    </pivotField>
    <pivotField name="Finalidad" compact="0" outline="0" multipleItemSelectionAllowed="1" showAll="0">
      <items>
        <item x="0"/>
        <item x="1"/>
        <item x="2"/>
        <item t="default"/>
      </items>
    </pivotField>
    <pivotField name="Funcion" compact="0" outline="0" multipleItemSelectionAllowed="1" showAll="0">
      <items>
        <item x="0"/>
        <item x="1"/>
        <item t="default"/>
      </items>
    </pivotField>
    <pivotField name="Subfun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asignaciones" compact="0" outline="0" multipleItemSelectionAllowed="1" showAll="0">
      <items>
        <item x="0"/>
        <item t="default"/>
      </items>
    </pivotField>
    <pivotField name="Actividad Institucion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dalidad" compact="0" outline="0" multipleItemSelectionAllowed="1" showAll="0">
      <items>
        <item x="0"/>
        <item x="1"/>
        <item x="2"/>
        <item x="3"/>
        <item t="default"/>
      </items>
    </pivotField>
    <pivotField name="Program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pítulo" axis="axisRow" compact="0" outline="0" multipleItemSelectionAllowed="1" showAll="0" sortType="ascending">
      <items>
        <item x="0"/>
        <item x="2"/>
        <item x="1"/>
        <item x="4"/>
        <item x="3"/>
        <item t="default"/>
      </items>
    </pivotField>
    <pivotField name="Part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escripción part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Tipo de Gasto" compact="0" outline="0" multipleItemSelectionAllowed="1" showAll="0">
      <items>
        <item x="0"/>
        <item t="default"/>
      </items>
    </pivotField>
    <pivotField name="Fuente de Financiamiento" compact="0" outline="0" multipleItemSelectionAllowed="1" showAll="0">
      <items>
        <item x="0"/>
        <item x="1"/>
        <item t="default"/>
      </items>
    </pivotField>
    <pivotField name="Entidad Federativa" compact="0" outline="0" multipleItemSelectionAllowed="1" showAll="0">
      <items>
        <item x="0"/>
        <item t="default"/>
      </items>
    </pivotField>
    <pivotField name="Clave de Cartera" compact="0" outline="0" multipleItemSelectionAllowed="1" showAll="0">
      <items>
        <item x="0"/>
        <item t="default"/>
      </items>
    </pivotField>
    <pivotField name="Origin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Modifica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t="default"/>
      </items>
    </pivotField>
    <pivotField name="Devenga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Ejerc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Pag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</pivotFields>
  <rowFields>
    <field x="10"/>
  </rowFields>
  <colFields>
    <field x="-2"/>
  </colFields>
  <dataFields>
    <dataField name="Suma de Original" fld="17" baseField="0"/>
    <dataField name="Suma de Modificado" fld="18" baseField="0"/>
    <dataField name="Suma de Devengado" fld="19" baseField="0"/>
  </dataFields>
</pivotTableDefinition>
</file>

<file path=xl/pivotTables/pivotTable2.xml><?xml version="1.0" encoding="utf-8"?>
<pivotTableDefinition xmlns="http://schemas.openxmlformats.org/spreadsheetml/2006/main" name="Por Capítulo" cacheId="0" dataCaption="" compact="0" compactData="0">
  <location ref="A3:D10" firstHeaderRow="0" firstDataRow="1" firstDataCol="1"/>
  <pivotFields>
    <pivotField name="Ramo" compact="0" outline="0" multipleItemSelectionAllowed="1" showAll="0">
      <items>
        <item x="0"/>
        <item t="default"/>
      </items>
    </pivotField>
    <pivotField name="Unidad" compact="0" outline="0" multipleItemSelectionAllowed="1" showAll="0">
      <items>
        <item x="0"/>
        <item t="default"/>
      </items>
    </pivotField>
    <pivotField name="Finalidad" compact="0" outline="0" multipleItemSelectionAllowed="1" showAll="0">
      <items>
        <item x="0"/>
        <item x="1"/>
        <item x="2"/>
        <item t="default"/>
      </items>
    </pivotField>
    <pivotField name="Funcion" compact="0" outline="0" multipleItemSelectionAllowed="1" showAll="0">
      <items>
        <item x="0"/>
        <item x="1"/>
        <item t="default"/>
      </items>
    </pivotField>
    <pivotField name="Subfun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asignaciones" compact="0" outline="0" multipleItemSelectionAllowed="1" showAll="0">
      <items>
        <item x="0"/>
        <item t="default"/>
      </items>
    </pivotField>
    <pivotField name="Actividad Institucion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dalidad" compact="0" outline="0" multipleItemSelectionAllowed="1" showAll="0">
      <items>
        <item x="0"/>
        <item x="1"/>
        <item x="2"/>
        <item x="3"/>
        <item t="default"/>
      </items>
    </pivotField>
    <pivotField name="Program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pítulo" axis="axisRow" compact="0" outline="0" multipleItemSelectionAllowed="1" showAll="0" sortType="ascending">
      <items>
        <item x="0"/>
        <item x="2"/>
        <item x="1"/>
        <item x="4"/>
        <item x="3"/>
        <item t="default"/>
      </items>
    </pivotField>
    <pivotField name="Part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escripción part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Tipo de Gasto" compact="0" outline="0" multipleItemSelectionAllowed="1" showAll="0">
      <items>
        <item x="0"/>
        <item t="default"/>
      </items>
    </pivotField>
    <pivotField name="Fuente de Financiamiento" axis="axisCol" compact="0" outline="0" multipleItemSelectionAllowed="1" showAll="0" sortType="ascending">
      <items>
        <item x="0"/>
        <item x="1"/>
        <item t="default"/>
      </items>
    </pivotField>
    <pivotField name="Entidad Federativa" compact="0" outline="0" multipleItemSelectionAllowed="1" showAll="0">
      <items>
        <item x="0"/>
        <item t="default"/>
      </items>
    </pivotField>
    <pivotField name="Clave de Cartera" compact="0" outline="0" multipleItemSelectionAllowed="1" showAll="0">
      <items>
        <item x="0"/>
        <item t="default"/>
      </items>
    </pivotField>
    <pivotField name="Orig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Modific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t="default"/>
      </items>
    </pivotField>
    <pivotField name="Deveng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Ejerc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Paga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</pivotFields>
  <rowFields>
    <field x="10"/>
  </rowFields>
  <colFields>
    <field x="14"/>
  </colFields>
  <dataFields>
    <dataField name="Suma de Pagado" fld="21" baseField="0"/>
  </dataFields>
</pivotTableDefinition>
</file>

<file path=xl/pivotTables/pivotTable3.xml><?xml version="1.0" encoding="utf-8"?>
<pivotTableDefinition xmlns="http://schemas.openxmlformats.org/spreadsheetml/2006/main" name="Por Partida" cacheId="0" dataCaption="" compact="0" compactData="0">
  <location ref="A4:C86" firstHeaderRow="0" firstDataRow="2" firstDataCol="0"/>
  <pivotFields>
    <pivotField name="Ramo" compact="0" outline="0" multipleItemSelectionAllowed="1" showAll="0">
      <items>
        <item x="0"/>
        <item t="default"/>
      </items>
    </pivotField>
    <pivotField name="Unidad" compact="0" outline="0" multipleItemSelectionAllowed="1" showAll="0">
      <items>
        <item x="0"/>
        <item t="default"/>
      </items>
    </pivotField>
    <pivotField name="Finalidad" compact="0" outline="0" multipleItemSelectionAllowed="1" showAll="0">
      <items>
        <item x="0"/>
        <item x="1"/>
        <item x="2"/>
        <item t="default"/>
      </items>
    </pivotField>
    <pivotField name="Funcion" compact="0" outline="0" multipleItemSelectionAllowed="1" showAll="0">
      <items>
        <item x="0"/>
        <item x="1"/>
        <item t="default"/>
      </items>
    </pivotField>
    <pivotField name="Subfun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asignaciones" compact="0" outline="0" multipleItemSelectionAllowed="1" showAll="0">
      <items>
        <item x="0"/>
        <item t="default"/>
      </items>
    </pivotField>
    <pivotField name="Actividad Institucion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dalidad" compact="0" outline="0" multipleItemSelectionAllowed="1" showAll="0">
      <items>
        <item x="0"/>
        <item x="1"/>
        <item x="2"/>
        <item x="3"/>
        <item t="default"/>
      </items>
    </pivotField>
    <pivotField name="Program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pítulo" axis="axisRow" compact="0" outline="0" multipleItemSelectionAllowed="1" showAll="0" sortType="ascending">
      <items>
        <item sd="0" x="0"/>
        <item x="2"/>
        <item sd="0" x="1"/>
        <item x="4"/>
        <item x="3"/>
        <item t="default"/>
      </items>
    </pivotField>
    <pivotField name="Partida" axis="axisRow" compact="0" outline="0" multipleItemSelectionAllowed="1" showAll="0" sortType="ascending">
      <items>
        <item x="0"/>
        <item x="32"/>
        <item x="77"/>
        <item x="1"/>
        <item x="2"/>
        <item x="3"/>
        <item x="4"/>
        <item x="5"/>
        <item x="6"/>
        <item x="7"/>
        <item x="78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34"/>
        <item x="86"/>
        <item x="35"/>
        <item x="94"/>
        <item x="36"/>
        <item x="37"/>
        <item x="92"/>
        <item x="38"/>
        <item x="95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21"/>
        <item x="59"/>
        <item x="60"/>
        <item x="22"/>
        <item x="23"/>
        <item x="79"/>
        <item x="87"/>
        <item x="24"/>
        <item x="96"/>
        <item x="61"/>
        <item x="97"/>
        <item x="62"/>
        <item x="63"/>
        <item x="98"/>
        <item x="64"/>
        <item x="65"/>
        <item x="80"/>
        <item x="88"/>
        <item x="81"/>
        <item x="66"/>
        <item x="25"/>
        <item x="26"/>
        <item x="67"/>
        <item x="68"/>
        <item x="69"/>
        <item x="27"/>
        <item x="89"/>
        <item x="70"/>
        <item x="71"/>
        <item x="72"/>
        <item x="73"/>
        <item x="74"/>
        <item x="28"/>
        <item x="29"/>
        <item x="30"/>
        <item x="82"/>
        <item x="83"/>
        <item x="84"/>
        <item x="90"/>
        <item x="85"/>
        <item x="91"/>
        <item x="75"/>
        <item x="76"/>
        <item x="31"/>
        <item x="99"/>
        <item x="93"/>
        <item t="default"/>
      </items>
    </pivotField>
    <pivotField name="Descripción part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Tipo de Gasto" compact="0" outline="0" multipleItemSelectionAllowed="1" showAll="0">
      <items>
        <item x="0"/>
        <item t="default"/>
      </items>
    </pivotField>
    <pivotField name="Fuente de Financiamiento" compact="0" outline="0" multipleItemSelectionAllowed="1" showAll="0">
      <items>
        <item x="0"/>
        <item x="1"/>
        <item t="default"/>
      </items>
    </pivotField>
    <pivotField name="Entidad Federativa" compact="0" outline="0" multipleItemSelectionAllowed="1" showAll="0">
      <items>
        <item x="0"/>
        <item t="default"/>
      </items>
    </pivotField>
    <pivotField name="Clave de Cartera" compact="0" outline="0" multipleItemSelectionAllowed="1" showAll="0">
      <items>
        <item x="0"/>
        <item t="default"/>
      </items>
    </pivotField>
    <pivotField name="Orig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Modific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t="default"/>
      </items>
    </pivotField>
    <pivotField name="Deveng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Ejerc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Paga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</pivotFields>
  <rowFields>
    <field x="10"/>
    <field x="11"/>
  </rowFields>
  <dataFields>
    <dataField name="Suma de Pagado" fld="2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6.14"/>
    <col customWidth="1" min="3" max="3" width="19.29"/>
    <col customWidth="1" min="4" max="4" width="19.14"/>
    <col customWidth="1" min="5" max="5" width="15.43"/>
    <col customWidth="1" min="6" max="6" width="13.71"/>
    <col customWidth="1" min="7" max="7" width="13.43"/>
    <col customWidth="1" min="8" max="26" width="10.71"/>
  </cols>
  <sheetData>
    <row r="3">
      <c r="E3" s="1">
        <v>2024.0</v>
      </c>
      <c r="F3" s="1">
        <v>2025.0</v>
      </c>
    </row>
    <row r="4">
      <c r="E4" s="4">
        <v>8.55934344E8</v>
      </c>
      <c r="F4" s="4">
        <v>9.06482936E8</v>
      </c>
      <c r="G4" s="4">
        <f t="shared" ref="G4:G6" si="1">F4-E4</f>
        <v>50548592</v>
      </c>
    </row>
    <row r="5">
      <c r="E5" s="4">
        <v>1.64480532E8</v>
      </c>
      <c r="F5" s="4">
        <v>7.6595744E7</v>
      </c>
      <c r="G5" s="4">
        <f t="shared" si="1"/>
        <v>-87884788</v>
      </c>
    </row>
    <row r="6">
      <c r="E6" s="4">
        <v>4.00856497E8</v>
      </c>
      <c r="F6" s="4">
        <v>3.29849243E8</v>
      </c>
      <c r="G6" s="4">
        <f t="shared" si="1"/>
        <v>-71007254</v>
      </c>
    </row>
    <row r="7"/>
    <row r="8"/>
    <row r="9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480314960629921" footer="0.0" header="0.0" left="0.7086614173228347" right="0.7086614173228347" top="0.7480314960629921"/>
  <pageSetup scale="200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2.43"/>
    <col customWidth="1" min="3" max="3" width="12.71"/>
    <col customWidth="1" min="4" max="4" width="15.29"/>
    <col customWidth="1" min="5" max="26" width="10.71"/>
  </cols>
  <sheetData>
    <row r="3"/>
    <row r="4"/>
    <row r="5"/>
    <row r="6"/>
    <row r="7"/>
    <row r="8"/>
    <row r="9"/>
    <row r="1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5.43"/>
    <col customWidth="1" min="3" max="3" width="16.0"/>
    <col customWidth="1" min="4" max="4" width="12.57"/>
    <col customWidth="1" min="5" max="10" width="10.71"/>
    <col customWidth="1" min="11" max="11" width="30.57"/>
    <col customWidth="1" min="12" max="12" width="13.0"/>
    <col customWidth="1" min="13" max="26" width="10.71"/>
  </cols>
  <sheetData>
    <row r="4" ht="30.75" customHeight="1">
      <c r="K4" s="5" t="s">
        <v>29</v>
      </c>
      <c r="L4" s="6"/>
    </row>
    <row r="5">
      <c r="E5" s="8">
        <f>C5/1000</f>
        <v>906482.936</v>
      </c>
      <c r="F5" s="1">
        <v>907214.8</v>
      </c>
      <c r="G5" s="8">
        <f>F5-E5</f>
        <v>731.864</v>
      </c>
      <c r="K5" s="9" t="s">
        <v>10</v>
      </c>
      <c r="L5" s="10" t="s">
        <v>20</v>
      </c>
    </row>
    <row r="6">
      <c r="E6" s="8">
        <f t="shared" ref="E6:E29" si="1">B6/1000</f>
        <v>21.101</v>
      </c>
      <c r="K6" s="12" t="s">
        <v>31</v>
      </c>
      <c r="L6" s="13">
        <v>5655091.0</v>
      </c>
    </row>
    <row r="7">
      <c r="E7" s="8">
        <f t="shared" si="1"/>
        <v>21.201</v>
      </c>
      <c r="K7" s="12" t="s">
        <v>32</v>
      </c>
      <c r="L7" s="13">
        <v>719436.0</v>
      </c>
    </row>
    <row r="8">
      <c r="E8" s="8">
        <f t="shared" si="1"/>
        <v>21.401</v>
      </c>
      <c r="K8" s="14" t="s">
        <v>33</v>
      </c>
      <c r="L8" s="15">
        <v>6374527.0</v>
      </c>
    </row>
    <row r="9">
      <c r="E9" s="8">
        <f t="shared" si="1"/>
        <v>21.501</v>
      </c>
      <c r="K9" s="16" t="s">
        <v>34</v>
      </c>
    </row>
    <row r="10">
      <c r="E10" s="8">
        <f t="shared" si="1"/>
        <v>21.502</v>
      </c>
      <c r="G10" s="1">
        <f>B10*1.0369</f>
        <v>22295.4238</v>
      </c>
    </row>
    <row r="11">
      <c r="E11" s="8">
        <f t="shared" si="1"/>
        <v>21.601</v>
      </c>
    </row>
    <row r="12">
      <c r="E12" s="8">
        <f t="shared" si="1"/>
        <v>22.104</v>
      </c>
    </row>
    <row r="13">
      <c r="E13" s="8">
        <f t="shared" si="1"/>
        <v>22.201</v>
      </c>
    </row>
    <row r="14">
      <c r="E14" s="8">
        <f t="shared" si="1"/>
        <v>22.301</v>
      </c>
    </row>
    <row r="15">
      <c r="E15" s="8">
        <f t="shared" si="1"/>
        <v>24.101</v>
      </c>
    </row>
    <row r="16">
      <c r="E16" s="8">
        <f t="shared" si="1"/>
        <v>24.201</v>
      </c>
    </row>
    <row r="17">
      <c r="E17" s="8">
        <f t="shared" si="1"/>
        <v>24.601</v>
      </c>
    </row>
    <row r="18">
      <c r="E18" s="8">
        <f t="shared" si="1"/>
        <v>24.701</v>
      </c>
    </row>
    <row r="19">
      <c r="E19" s="8">
        <f t="shared" si="1"/>
        <v>24.801</v>
      </c>
    </row>
    <row r="20">
      <c r="E20" s="8">
        <f t="shared" si="1"/>
        <v>24.901</v>
      </c>
    </row>
    <row r="21" ht="15.75" customHeight="1">
      <c r="E21" s="8">
        <f t="shared" si="1"/>
        <v>25.101</v>
      </c>
    </row>
    <row r="22" ht="15.75" customHeight="1">
      <c r="E22" s="8">
        <f t="shared" si="1"/>
        <v>25.301</v>
      </c>
    </row>
    <row r="23" ht="15.75" customHeight="1">
      <c r="E23" s="8">
        <f t="shared" si="1"/>
        <v>25.401</v>
      </c>
    </row>
    <row r="24" ht="15.75" customHeight="1">
      <c r="E24" s="8">
        <f t="shared" si="1"/>
        <v>25.501</v>
      </c>
    </row>
    <row r="25" ht="15.75" customHeight="1">
      <c r="E25" s="8">
        <f t="shared" si="1"/>
        <v>26.103</v>
      </c>
    </row>
    <row r="26" ht="15.75" customHeight="1">
      <c r="E26" s="8">
        <f t="shared" si="1"/>
        <v>26.105</v>
      </c>
    </row>
    <row r="27" ht="15.75" customHeight="1">
      <c r="E27" s="8">
        <f t="shared" si="1"/>
        <v>27.101</v>
      </c>
    </row>
    <row r="28" ht="15.75" customHeight="1">
      <c r="E28" s="8">
        <f t="shared" si="1"/>
        <v>27.501</v>
      </c>
    </row>
    <row r="29" ht="15.75" customHeight="1">
      <c r="E29" s="8">
        <f t="shared" si="1"/>
        <v>29.101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4:L4"/>
  </mergeCell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9.57"/>
    <col customWidth="1" min="3" max="3" width="3.86"/>
    <col customWidth="1" min="4" max="4" width="3.0"/>
    <col customWidth="1" min="5" max="5" width="3.43"/>
    <col customWidth="1" min="6" max="11" width="10.71"/>
    <col customWidth="1" min="12" max="12" width="11.57"/>
    <col customWidth="1" min="13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12.0</v>
      </c>
      <c r="B2" s="1" t="s">
        <v>22</v>
      </c>
      <c r="C2" s="1">
        <v>1.0</v>
      </c>
      <c r="D2" s="1">
        <v>3.0</v>
      </c>
      <c r="E2" s="1">
        <v>4.0</v>
      </c>
      <c r="F2" s="1">
        <v>0.0</v>
      </c>
      <c r="G2" s="1">
        <v>1.0</v>
      </c>
      <c r="H2" s="1" t="str">
        <f t="shared" ref="H2:H41" si="1">I2&amp;"00"&amp;J2</f>
        <v>O001</v>
      </c>
      <c r="I2" s="1" t="s">
        <v>23</v>
      </c>
      <c r="J2" s="1">
        <v>1.0</v>
      </c>
      <c r="K2" s="2">
        <v>1000.0</v>
      </c>
      <c r="L2" s="1">
        <v>11301.0</v>
      </c>
      <c r="M2" s="1" t="str">
        <f>VLOOKUP(L2,'Catálogos'!$A$2:$B$492,2,0)</f>
        <v>Sueldos base</v>
      </c>
      <c r="N2" s="1">
        <v>1.0</v>
      </c>
      <c r="O2" s="1">
        <v>1.0</v>
      </c>
      <c r="P2" s="1">
        <v>9.0</v>
      </c>
      <c r="Q2" s="1">
        <v>0.0</v>
      </c>
      <c r="R2" s="1">
        <v>1782556.0</v>
      </c>
      <c r="S2" s="1">
        <v>1781281.0</v>
      </c>
      <c r="T2" s="1">
        <v>1781281.0</v>
      </c>
      <c r="U2" s="1">
        <v>1781281.0</v>
      </c>
      <c r="V2" s="1">
        <v>1781281.0</v>
      </c>
    </row>
    <row r="3">
      <c r="A3" s="1">
        <v>12.0</v>
      </c>
      <c r="B3" s="1" t="s">
        <v>22</v>
      </c>
      <c r="C3" s="1">
        <v>1.0</v>
      </c>
      <c r="D3" s="1">
        <v>3.0</v>
      </c>
      <c r="E3" s="1">
        <v>4.0</v>
      </c>
      <c r="F3" s="1">
        <v>0.0</v>
      </c>
      <c r="G3" s="1">
        <v>1.0</v>
      </c>
      <c r="H3" s="1" t="str">
        <f t="shared" si="1"/>
        <v>O001</v>
      </c>
      <c r="I3" s="1" t="s">
        <v>23</v>
      </c>
      <c r="J3" s="1">
        <v>1.0</v>
      </c>
      <c r="K3" s="2">
        <v>1000.0</v>
      </c>
      <c r="L3" s="1">
        <v>13101.0</v>
      </c>
      <c r="M3" s="1" t="str">
        <f>VLOOKUP(L3,'Catálogos'!$A$2:$B$492,2,0)</f>
        <v>Prima quinquenal por años de servicios efectivos prestados</v>
      </c>
      <c r="N3" s="1">
        <v>1.0</v>
      </c>
      <c r="O3" s="1">
        <v>1.0</v>
      </c>
      <c r="P3" s="1">
        <v>9.0</v>
      </c>
      <c r="Q3" s="1">
        <v>0.0</v>
      </c>
      <c r="R3" s="1">
        <v>41993.0</v>
      </c>
      <c r="S3" s="1">
        <v>41993.0</v>
      </c>
      <c r="T3" s="1">
        <v>41993.0</v>
      </c>
      <c r="U3" s="1">
        <v>41993.0</v>
      </c>
      <c r="V3" s="1">
        <v>41993.0</v>
      </c>
    </row>
    <row r="4">
      <c r="A4" s="1">
        <v>12.0</v>
      </c>
      <c r="B4" s="1" t="s">
        <v>22</v>
      </c>
      <c r="C4" s="1">
        <v>1.0</v>
      </c>
      <c r="D4" s="1">
        <v>3.0</v>
      </c>
      <c r="E4" s="1">
        <v>4.0</v>
      </c>
      <c r="F4" s="1">
        <v>0.0</v>
      </c>
      <c r="G4" s="1">
        <v>1.0</v>
      </c>
      <c r="H4" s="1" t="str">
        <f t="shared" si="1"/>
        <v>O001</v>
      </c>
      <c r="I4" s="1" t="s">
        <v>23</v>
      </c>
      <c r="J4" s="1">
        <v>1.0</v>
      </c>
      <c r="K4" s="2">
        <v>1000.0</v>
      </c>
      <c r="L4" s="1">
        <v>13201.0</v>
      </c>
      <c r="M4" s="1" t="str">
        <f>VLOOKUP(L4,'Catálogos'!$A$2:$B$492,2,0)</f>
        <v>Primas de vacaciones y dominical</v>
      </c>
      <c r="N4" s="1">
        <v>1.0</v>
      </c>
      <c r="O4" s="1">
        <v>1.0</v>
      </c>
      <c r="P4" s="1">
        <v>9.0</v>
      </c>
      <c r="Q4" s="1">
        <v>0.0</v>
      </c>
      <c r="R4" s="1">
        <v>74134.0</v>
      </c>
      <c r="S4" s="1">
        <v>74134.0</v>
      </c>
      <c r="T4" s="1">
        <v>74134.0</v>
      </c>
      <c r="U4" s="1">
        <v>74134.0</v>
      </c>
      <c r="V4" s="1">
        <v>74134.0</v>
      </c>
    </row>
    <row r="5">
      <c r="A5" s="1">
        <v>12.0</v>
      </c>
      <c r="B5" s="1" t="s">
        <v>22</v>
      </c>
      <c r="C5" s="1">
        <v>1.0</v>
      </c>
      <c r="D5" s="1">
        <v>3.0</v>
      </c>
      <c r="E5" s="1">
        <v>4.0</v>
      </c>
      <c r="F5" s="1">
        <v>0.0</v>
      </c>
      <c r="G5" s="1">
        <v>1.0</v>
      </c>
      <c r="H5" s="1" t="str">
        <f t="shared" si="1"/>
        <v>O001</v>
      </c>
      <c r="I5" s="1" t="s">
        <v>23</v>
      </c>
      <c r="J5" s="1">
        <v>1.0</v>
      </c>
      <c r="K5" s="2">
        <v>1000.0</v>
      </c>
      <c r="L5" s="1">
        <v>13202.0</v>
      </c>
      <c r="M5" s="1" t="str">
        <f>VLOOKUP(L5,'Catálogos'!$A$2:$B$492,2,0)</f>
        <v>Aguinaldo o gratificación de fin de año</v>
      </c>
      <c r="N5" s="1">
        <v>1.0</v>
      </c>
      <c r="O5" s="1">
        <v>1.0</v>
      </c>
      <c r="P5" s="1">
        <v>9.0</v>
      </c>
      <c r="Q5" s="1">
        <v>0.0</v>
      </c>
      <c r="R5" s="1">
        <v>237320.0</v>
      </c>
      <c r="S5" s="1">
        <v>253460.0</v>
      </c>
      <c r="T5" s="1">
        <v>253460.0</v>
      </c>
      <c r="U5" s="1">
        <v>253460.0</v>
      </c>
      <c r="V5" s="1">
        <v>253460.0</v>
      </c>
    </row>
    <row r="6">
      <c r="A6" s="1">
        <v>12.0</v>
      </c>
      <c r="B6" s="1" t="s">
        <v>22</v>
      </c>
      <c r="C6" s="1">
        <v>1.0</v>
      </c>
      <c r="D6" s="1">
        <v>3.0</v>
      </c>
      <c r="E6" s="1">
        <v>4.0</v>
      </c>
      <c r="F6" s="1">
        <v>0.0</v>
      </c>
      <c r="G6" s="1">
        <v>1.0</v>
      </c>
      <c r="H6" s="1" t="str">
        <f t="shared" si="1"/>
        <v>O001</v>
      </c>
      <c r="I6" s="1" t="s">
        <v>23</v>
      </c>
      <c r="J6" s="1">
        <v>1.0</v>
      </c>
      <c r="K6" s="2">
        <v>1000.0</v>
      </c>
      <c r="L6" s="1">
        <v>13301.0</v>
      </c>
      <c r="M6" s="1" t="str">
        <f>VLOOKUP(L6,'Catálogos'!$A$2:$B$492,2,0)</f>
        <v>Remuneraciones por horas extraordinarias</v>
      </c>
      <c r="N6" s="1">
        <v>1.0</v>
      </c>
      <c r="O6" s="1">
        <v>1.0</v>
      </c>
      <c r="P6" s="1">
        <v>9.0</v>
      </c>
      <c r="Q6" s="1">
        <v>0.0</v>
      </c>
      <c r="R6" s="1">
        <v>9132.0</v>
      </c>
      <c r="S6" s="1">
        <v>6400.0</v>
      </c>
      <c r="T6" s="1">
        <v>6400.0</v>
      </c>
      <c r="U6" s="1">
        <v>6400.0</v>
      </c>
      <c r="V6" s="1">
        <v>6400.0</v>
      </c>
    </row>
    <row r="7">
      <c r="A7" s="1">
        <v>12.0</v>
      </c>
      <c r="B7" s="1" t="s">
        <v>22</v>
      </c>
      <c r="C7" s="1">
        <v>1.0</v>
      </c>
      <c r="D7" s="1">
        <v>3.0</v>
      </c>
      <c r="E7" s="1">
        <v>4.0</v>
      </c>
      <c r="F7" s="1">
        <v>0.0</v>
      </c>
      <c r="G7" s="1">
        <v>1.0</v>
      </c>
      <c r="H7" s="1" t="str">
        <f t="shared" si="1"/>
        <v>O001</v>
      </c>
      <c r="I7" s="1" t="s">
        <v>23</v>
      </c>
      <c r="J7" s="1">
        <v>1.0</v>
      </c>
      <c r="K7" s="2">
        <v>1000.0</v>
      </c>
      <c r="L7" s="1">
        <v>13404.0</v>
      </c>
      <c r="M7" s="1" t="str">
        <f>VLOOKUP(L7,'Catálogos'!$A$2:$B$492,2,0)</f>
        <v>Compensaciones por servicios eventuales</v>
      </c>
      <c r="N7" s="1">
        <v>1.0</v>
      </c>
      <c r="O7" s="1">
        <v>1.0</v>
      </c>
      <c r="P7" s="1">
        <v>9.0</v>
      </c>
      <c r="Q7" s="1">
        <v>0.0</v>
      </c>
      <c r="R7" s="1">
        <v>23694.0</v>
      </c>
      <c r="S7" s="1">
        <v>26466.0</v>
      </c>
      <c r="T7" s="1">
        <v>26466.0</v>
      </c>
      <c r="U7" s="1">
        <v>26466.0</v>
      </c>
      <c r="V7" s="1">
        <v>26466.0</v>
      </c>
    </row>
    <row r="8">
      <c r="A8" s="1">
        <v>12.0</v>
      </c>
      <c r="B8" s="1" t="s">
        <v>22</v>
      </c>
      <c r="C8" s="1">
        <v>1.0</v>
      </c>
      <c r="D8" s="1">
        <v>3.0</v>
      </c>
      <c r="E8" s="1">
        <v>4.0</v>
      </c>
      <c r="F8" s="1">
        <v>0.0</v>
      </c>
      <c r="G8" s="1">
        <v>1.0</v>
      </c>
      <c r="H8" s="1" t="str">
        <f t="shared" si="1"/>
        <v>O001</v>
      </c>
      <c r="I8" s="1" t="s">
        <v>23</v>
      </c>
      <c r="J8" s="1">
        <v>1.0</v>
      </c>
      <c r="K8" s="2">
        <v>1000.0</v>
      </c>
      <c r="L8" s="1">
        <v>13407.0</v>
      </c>
      <c r="M8" s="1" t="str">
        <f>VLOOKUP(L8,'Catálogos'!$A$2:$B$492,2,0)</f>
        <v>Compensaciones adicionales por servicios especiales</v>
      </c>
      <c r="N8" s="1">
        <v>1.0</v>
      </c>
      <c r="O8" s="1">
        <v>1.0</v>
      </c>
      <c r="P8" s="1">
        <v>9.0</v>
      </c>
      <c r="Q8" s="1">
        <v>0.0</v>
      </c>
      <c r="R8" s="1">
        <v>190950.0</v>
      </c>
      <c r="S8" s="1">
        <v>190950.0</v>
      </c>
      <c r="T8" s="1">
        <v>190950.0</v>
      </c>
      <c r="U8" s="1">
        <v>190950.0</v>
      </c>
      <c r="V8" s="1">
        <v>190950.0</v>
      </c>
    </row>
    <row r="9">
      <c r="A9" s="1">
        <v>12.0</v>
      </c>
      <c r="B9" s="1" t="s">
        <v>22</v>
      </c>
      <c r="C9" s="1">
        <v>1.0</v>
      </c>
      <c r="D9" s="1">
        <v>3.0</v>
      </c>
      <c r="E9" s="1">
        <v>4.0</v>
      </c>
      <c r="F9" s="1">
        <v>0.0</v>
      </c>
      <c r="G9" s="1">
        <v>1.0</v>
      </c>
      <c r="H9" s="1" t="str">
        <f t="shared" si="1"/>
        <v>O001</v>
      </c>
      <c r="I9" s="1" t="s">
        <v>23</v>
      </c>
      <c r="J9" s="1">
        <v>1.0</v>
      </c>
      <c r="K9" s="2">
        <v>1000.0</v>
      </c>
      <c r="L9" s="1">
        <v>13410.0</v>
      </c>
      <c r="M9" s="1" t="str">
        <f>VLOOKUP(L9,'Catálogos'!$A$2:$B$492,2,0)</f>
        <v>Compensación por actualización y formación académica</v>
      </c>
      <c r="N9" s="1">
        <v>1.0</v>
      </c>
      <c r="O9" s="1">
        <v>1.0</v>
      </c>
      <c r="P9" s="1">
        <v>9.0</v>
      </c>
      <c r="Q9" s="1">
        <v>0.0</v>
      </c>
      <c r="R9" s="1">
        <v>720504.0</v>
      </c>
      <c r="S9" s="1">
        <v>712071.0</v>
      </c>
      <c r="T9" s="1">
        <v>712071.0</v>
      </c>
      <c r="U9" s="1">
        <v>712071.0</v>
      </c>
      <c r="V9" s="1">
        <v>712071.0</v>
      </c>
    </row>
    <row r="10">
      <c r="A10" s="1">
        <v>12.0</v>
      </c>
      <c r="B10" s="1" t="s">
        <v>22</v>
      </c>
      <c r="C10" s="1">
        <v>1.0</v>
      </c>
      <c r="D10" s="1">
        <v>3.0</v>
      </c>
      <c r="E10" s="1">
        <v>4.0</v>
      </c>
      <c r="F10" s="1">
        <v>0.0</v>
      </c>
      <c r="G10" s="1">
        <v>1.0</v>
      </c>
      <c r="H10" s="1" t="str">
        <f t="shared" si="1"/>
        <v>O001</v>
      </c>
      <c r="I10" s="1" t="s">
        <v>23</v>
      </c>
      <c r="J10" s="1">
        <v>1.0</v>
      </c>
      <c r="K10" s="2">
        <v>1000.0</v>
      </c>
      <c r="L10" s="1">
        <v>14101.0</v>
      </c>
      <c r="M10" s="1" t="str">
        <f>VLOOKUP(L10,'Catálogos'!$A$2:$B$492,2,0)</f>
        <v>Aportaciones al ISSSTE</v>
      </c>
      <c r="N10" s="1">
        <v>1.0</v>
      </c>
      <c r="O10" s="1">
        <v>1.0</v>
      </c>
      <c r="P10" s="1">
        <v>9.0</v>
      </c>
      <c r="Q10" s="1">
        <v>0.0</v>
      </c>
      <c r="R10" s="1">
        <v>560060.0</v>
      </c>
      <c r="S10" s="1">
        <v>443132.0</v>
      </c>
      <c r="T10" s="1">
        <v>443132.0</v>
      </c>
      <c r="U10" s="1">
        <v>443132.0</v>
      </c>
      <c r="V10" s="1">
        <v>443132.0</v>
      </c>
    </row>
    <row r="11">
      <c r="A11" s="1">
        <v>12.0</v>
      </c>
      <c r="B11" s="1" t="s">
        <v>22</v>
      </c>
      <c r="C11" s="1">
        <v>1.0</v>
      </c>
      <c r="D11" s="1">
        <v>3.0</v>
      </c>
      <c r="E11" s="1">
        <v>4.0</v>
      </c>
      <c r="F11" s="1">
        <v>0.0</v>
      </c>
      <c r="G11" s="1">
        <v>1.0</v>
      </c>
      <c r="H11" s="1" t="str">
        <f t="shared" si="1"/>
        <v>O001</v>
      </c>
      <c r="I11" s="1" t="s">
        <v>23</v>
      </c>
      <c r="J11" s="1">
        <v>1.0</v>
      </c>
      <c r="K11" s="2">
        <v>1000.0</v>
      </c>
      <c r="L11" s="1">
        <v>14105.0</v>
      </c>
      <c r="M11" s="1" t="str">
        <f>VLOOKUP(L11,'Catálogos'!$A$2:$B$492,2,0)</f>
        <v>Aportaciones al seguro de cesantía en edad avanzada y vejez</v>
      </c>
      <c r="N11" s="1">
        <v>1.0</v>
      </c>
      <c r="O11" s="1">
        <v>1.0</v>
      </c>
      <c r="P11" s="1">
        <v>9.0</v>
      </c>
      <c r="Q11" s="1">
        <v>0.0</v>
      </c>
      <c r="R11" s="1">
        <v>104739.0</v>
      </c>
      <c r="S11" s="1">
        <v>104739.0</v>
      </c>
      <c r="T11" s="1">
        <v>104739.0</v>
      </c>
      <c r="U11" s="1">
        <v>104739.0</v>
      </c>
      <c r="V11" s="1">
        <v>104739.0</v>
      </c>
    </row>
    <row r="12">
      <c r="A12" s="1">
        <v>12.0</v>
      </c>
      <c r="B12" s="1" t="s">
        <v>22</v>
      </c>
      <c r="C12" s="1">
        <v>1.0</v>
      </c>
      <c r="D12" s="1">
        <v>3.0</v>
      </c>
      <c r="E12" s="1">
        <v>4.0</v>
      </c>
      <c r="F12" s="1">
        <v>0.0</v>
      </c>
      <c r="G12" s="1">
        <v>1.0</v>
      </c>
      <c r="H12" s="1" t="str">
        <f t="shared" si="1"/>
        <v>O001</v>
      </c>
      <c r="I12" s="1" t="s">
        <v>23</v>
      </c>
      <c r="J12" s="1">
        <v>1.0</v>
      </c>
      <c r="K12" s="2">
        <v>1000.0</v>
      </c>
      <c r="L12" s="1">
        <v>14201.0</v>
      </c>
      <c r="M12" s="1" t="str">
        <f>VLOOKUP(L12,'Catálogos'!$A$2:$B$492,2,0)</f>
        <v>Aportaciones al FOVISSSTE</v>
      </c>
      <c r="N12" s="1">
        <v>1.0</v>
      </c>
      <c r="O12" s="1">
        <v>1.0</v>
      </c>
      <c r="P12" s="1">
        <v>9.0</v>
      </c>
      <c r="Q12" s="1">
        <v>0.0</v>
      </c>
      <c r="R12" s="1">
        <v>102548.0</v>
      </c>
      <c r="S12" s="1">
        <v>102548.0</v>
      </c>
      <c r="T12" s="1">
        <v>102548.0</v>
      </c>
      <c r="U12" s="1">
        <v>102548.0</v>
      </c>
      <c r="V12" s="1">
        <v>102548.0</v>
      </c>
    </row>
    <row r="13">
      <c r="A13" s="1">
        <v>12.0</v>
      </c>
      <c r="B13" s="1" t="s">
        <v>22</v>
      </c>
      <c r="C13" s="1">
        <v>1.0</v>
      </c>
      <c r="D13" s="1">
        <v>3.0</v>
      </c>
      <c r="E13" s="1">
        <v>4.0</v>
      </c>
      <c r="F13" s="1">
        <v>0.0</v>
      </c>
      <c r="G13" s="1">
        <v>1.0</v>
      </c>
      <c r="H13" s="1" t="str">
        <f t="shared" si="1"/>
        <v>O001</v>
      </c>
      <c r="I13" s="1" t="s">
        <v>23</v>
      </c>
      <c r="J13" s="1">
        <v>1.0</v>
      </c>
      <c r="K13" s="2">
        <v>1000.0</v>
      </c>
      <c r="L13" s="1">
        <v>14301.0</v>
      </c>
      <c r="M13" s="1" t="str">
        <f>VLOOKUP(L13,'Catálogos'!$A$2:$B$492,2,0)</f>
        <v>Aportaciones al Sistema de Ahorro para el Retiro</v>
      </c>
      <c r="N13" s="1">
        <v>1.0</v>
      </c>
      <c r="O13" s="1">
        <v>1.0</v>
      </c>
      <c r="P13" s="1">
        <v>9.0</v>
      </c>
      <c r="Q13" s="1">
        <v>0.0</v>
      </c>
      <c r="R13" s="1">
        <v>41019.0</v>
      </c>
      <c r="S13" s="1">
        <v>41019.0</v>
      </c>
      <c r="T13" s="1">
        <v>41019.0</v>
      </c>
      <c r="U13" s="1">
        <v>41019.0</v>
      </c>
      <c r="V13" s="1">
        <v>41019.0</v>
      </c>
    </row>
    <row r="14">
      <c r="A14" s="1">
        <v>12.0</v>
      </c>
      <c r="B14" s="1" t="s">
        <v>22</v>
      </c>
      <c r="C14" s="1">
        <v>1.0</v>
      </c>
      <c r="D14" s="1">
        <v>3.0</v>
      </c>
      <c r="E14" s="1">
        <v>4.0</v>
      </c>
      <c r="F14" s="1">
        <v>0.0</v>
      </c>
      <c r="G14" s="1">
        <v>1.0</v>
      </c>
      <c r="H14" s="1" t="str">
        <f t="shared" si="1"/>
        <v>O001</v>
      </c>
      <c r="I14" s="1" t="s">
        <v>23</v>
      </c>
      <c r="J14" s="1">
        <v>1.0</v>
      </c>
      <c r="K14" s="2">
        <v>1000.0</v>
      </c>
      <c r="L14" s="1">
        <v>14302.0</v>
      </c>
      <c r="M14" s="1" t="str">
        <f>VLOOKUP(L14,'Catálogos'!$A$2:$B$492,2,0)</f>
        <v>Depósitos para el ahorro solidario</v>
      </c>
      <c r="N14" s="1">
        <v>1.0</v>
      </c>
      <c r="O14" s="1">
        <v>1.0</v>
      </c>
      <c r="P14" s="1">
        <v>9.0</v>
      </c>
      <c r="Q14" s="1">
        <v>0.0</v>
      </c>
      <c r="R14" s="1">
        <v>28937.0</v>
      </c>
      <c r="S14" s="1">
        <v>28937.0</v>
      </c>
      <c r="T14" s="1">
        <v>28937.0</v>
      </c>
      <c r="U14" s="1">
        <v>28937.0</v>
      </c>
      <c r="V14" s="1">
        <v>28937.0</v>
      </c>
    </row>
    <row r="15">
      <c r="A15" s="1">
        <v>12.0</v>
      </c>
      <c r="B15" s="1" t="s">
        <v>22</v>
      </c>
      <c r="C15" s="1">
        <v>1.0</v>
      </c>
      <c r="D15" s="1">
        <v>3.0</v>
      </c>
      <c r="E15" s="1">
        <v>4.0</v>
      </c>
      <c r="F15" s="1">
        <v>0.0</v>
      </c>
      <c r="G15" s="1">
        <v>1.0</v>
      </c>
      <c r="H15" s="1" t="str">
        <f t="shared" si="1"/>
        <v>O001</v>
      </c>
      <c r="I15" s="1" t="s">
        <v>23</v>
      </c>
      <c r="J15" s="1">
        <v>1.0</v>
      </c>
      <c r="K15" s="2">
        <v>1000.0</v>
      </c>
      <c r="L15" s="1">
        <v>14401.0</v>
      </c>
      <c r="M15" s="1" t="str">
        <f>VLOOKUP(L15,'Catálogos'!$A$2:$B$492,2,0)</f>
        <v>Cuotas para el seguro de vida del personal civil</v>
      </c>
      <c r="N15" s="1">
        <v>1.0</v>
      </c>
      <c r="O15" s="1">
        <v>1.0</v>
      </c>
      <c r="P15" s="1">
        <v>9.0</v>
      </c>
      <c r="Q15" s="1">
        <v>0.0</v>
      </c>
      <c r="R15" s="1">
        <v>33234.0</v>
      </c>
      <c r="S15" s="1">
        <v>33234.0</v>
      </c>
      <c r="T15" s="1">
        <v>33234.0</v>
      </c>
      <c r="U15" s="1">
        <v>33234.0</v>
      </c>
      <c r="V15" s="1">
        <v>33234.0</v>
      </c>
    </row>
    <row r="16">
      <c r="A16" s="1">
        <v>12.0</v>
      </c>
      <c r="B16" s="1" t="s">
        <v>22</v>
      </c>
      <c r="C16" s="1">
        <v>1.0</v>
      </c>
      <c r="D16" s="1">
        <v>3.0</v>
      </c>
      <c r="E16" s="1">
        <v>4.0</v>
      </c>
      <c r="F16" s="1">
        <v>0.0</v>
      </c>
      <c r="G16" s="1">
        <v>1.0</v>
      </c>
      <c r="H16" s="1" t="str">
        <f t="shared" si="1"/>
        <v>O001</v>
      </c>
      <c r="I16" s="1" t="s">
        <v>23</v>
      </c>
      <c r="J16" s="1">
        <v>1.0</v>
      </c>
      <c r="K16" s="2">
        <v>1000.0</v>
      </c>
      <c r="L16" s="1">
        <v>14405.0</v>
      </c>
      <c r="M16" s="1" t="str">
        <f>VLOOKUP(L16,'Catálogos'!$A$2:$B$492,2,0)</f>
        <v>Cuotas para el seguro colectivo de retiro</v>
      </c>
      <c r="N16" s="1">
        <v>1.0</v>
      </c>
      <c r="O16" s="1">
        <v>1.0</v>
      </c>
      <c r="P16" s="1">
        <v>9.0</v>
      </c>
      <c r="Q16" s="1">
        <v>0.0</v>
      </c>
      <c r="R16" s="1">
        <v>1012.0</v>
      </c>
      <c r="S16" s="1">
        <v>1341.0</v>
      </c>
      <c r="T16" s="1">
        <v>1341.0</v>
      </c>
      <c r="U16" s="1">
        <v>1341.0</v>
      </c>
      <c r="V16" s="1">
        <v>1341.0</v>
      </c>
    </row>
    <row r="17">
      <c r="A17" s="1">
        <v>12.0</v>
      </c>
      <c r="B17" s="1" t="s">
        <v>22</v>
      </c>
      <c r="C17" s="1">
        <v>1.0</v>
      </c>
      <c r="D17" s="1">
        <v>3.0</v>
      </c>
      <c r="E17" s="1">
        <v>4.0</v>
      </c>
      <c r="F17" s="1">
        <v>0.0</v>
      </c>
      <c r="G17" s="1">
        <v>1.0</v>
      </c>
      <c r="H17" s="1" t="str">
        <f t="shared" si="1"/>
        <v>O001</v>
      </c>
      <c r="I17" s="1" t="s">
        <v>23</v>
      </c>
      <c r="J17" s="1">
        <v>1.0</v>
      </c>
      <c r="K17" s="2">
        <v>1000.0</v>
      </c>
      <c r="L17" s="1">
        <v>14406.0</v>
      </c>
      <c r="M17" s="1" t="str">
        <f>VLOOKUP(L17,'Catálogos'!$A$2:$B$492,2,0)</f>
        <v>Seguro de responsabilidad civil, asistencia legal y otros seguros</v>
      </c>
      <c r="N17" s="1">
        <v>1.0</v>
      </c>
      <c r="O17" s="1">
        <v>1.0</v>
      </c>
      <c r="P17" s="1">
        <v>9.0</v>
      </c>
      <c r="Q17" s="1">
        <v>0.0</v>
      </c>
      <c r="R17" s="1">
        <v>996.0</v>
      </c>
      <c r="S17" s="1">
        <v>1902.0</v>
      </c>
      <c r="T17" s="1">
        <v>1902.0</v>
      </c>
      <c r="U17" s="1">
        <v>1902.0</v>
      </c>
      <c r="V17" s="1">
        <v>1902.0</v>
      </c>
    </row>
    <row r="18">
      <c r="A18" s="1">
        <v>12.0</v>
      </c>
      <c r="B18" s="1" t="s">
        <v>22</v>
      </c>
      <c r="C18" s="1">
        <v>1.0</v>
      </c>
      <c r="D18" s="1">
        <v>3.0</v>
      </c>
      <c r="E18" s="1">
        <v>4.0</v>
      </c>
      <c r="F18" s="1">
        <v>0.0</v>
      </c>
      <c r="G18" s="1">
        <v>1.0</v>
      </c>
      <c r="H18" s="1" t="str">
        <f t="shared" si="1"/>
        <v>O001</v>
      </c>
      <c r="I18" s="1" t="s">
        <v>23</v>
      </c>
      <c r="J18" s="1">
        <v>1.0</v>
      </c>
      <c r="K18" s="2">
        <v>1000.0</v>
      </c>
      <c r="L18" s="1">
        <v>15401.0</v>
      </c>
      <c r="M18" s="1" t="str">
        <f>VLOOKUP(L18,'Catálogos'!$A$2:$B$492,2,0)</f>
        <v>Prestaciones establecidas por condiciones generales de trabajo o contratos colectivos de trabajo</v>
      </c>
      <c r="N18" s="1">
        <v>1.0</v>
      </c>
      <c r="O18" s="1">
        <v>1.0</v>
      </c>
      <c r="P18" s="1">
        <v>9.0</v>
      </c>
      <c r="Q18" s="1">
        <v>0.0</v>
      </c>
      <c r="R18" s="1">
        <v>70400.0</v>
      </c>
      <c r="S18" s="1">
        <v>85525.0</v>
      </c>
      <c r="T18" s="1">
        <v>85525.0</v>
      </c>
      <c r="U18" s="1">
        <v>85525.0</v>
      </c>
      <c r="V18" s="1">
        <v>85525.0</v>
      </c>
    </row>
    <row r="19">
      <c r="A19" s="1">
        <v>12.0</v>
      </c>
      <c r="B19" s="1" t="s">
        <v>22</v>
      </c>
      <c r="C19" s="1">
        <v>1.0</v>
      </c>
      <c r="D19" s="1">
        <v>3.0</v>
      </c>
      <c r="E19" s="1">
        <v>4.0</v>
      </c>
      <c r="F19" s="1">
        <v>0.0</v>
      </c>
      <c r="G19" s="1">
        <v>1.0</v>
      </c>
      <c r="H19" s="1" t="str">
        <f t="shared" si="1"/>
        <v>O001</v>
      </c>
      <c r="I19" s="1" t="s">
        <v>23</v>
      </c>
      <c r="J19" s="1">
        <v>1.0</v>
      </c>
      <c r="K19" s="2">
        <v>1000.0</v>
      </c>
      <c r="L19" s="1">
        <v>15402.0</v>
      </c>
      <c r="M19" s="1" t="str">
        <f>VLOOKUP(L19,'Catálogos'!$A$2:$B$492,2,0)</f>
        <v>Compensación garantizada</v>
      </c>
      <c r="N19" s="1">
        <v>1.0</v>
      </c>
      <c r="O19" s="1">
        <v>1.0</v>
      </c>
      <c r="P19" s="1">
        <v>9.0</v>
      </c>
      <c r="Q19" s="1">
        <v>0.0</v>
      </c>
      <c r="R19" s="1">
        <v>85029.0</v>
      </c>
      <c r="S19" s="1">
        <v>85029.0</v>
      </c>
      <c r="T19" s="1">
        <v>85029.0</v>
      </c>
      <c r="U19" s="1">
        <v>85029.0</v>
      </c>
      <c r="V19" s="1">
        <v>85029.0</v>
      </c>
    </row>
    <row r="20">
      <c r="A20" s="1">
        <v>12.0</v>
      </c>
      <c r="B20" s="1" t="s">
        <v>22</v>
      </c>
      <c r="C20" s="1">
        <v>1.0</v>
      </c>
      <c r="D20" s="1">
        <v>3.0</v>
      </c>
      <c r="E20" s="1">
        <v>4.0</v>
      </c>
      <c r="F20" s="1">
        <v>0.0</v>
      </c>
      <c r="G20" s="1">
        <v>1.0</v>
      </c>
      <c r="H20" s="1" t="str">
        <f t="shared" si="1"/>
        <v>O001</v>
      </c>
      <c r="I20" s="1" t="s">
        <v>23</v>
      </c>
      <c r="J20" s="1">
        <v>1.0</v>
      </c>
      <c r="K20" s="2">
        <v>1000.0</v>
      </c>
      <c r="L20" s="1">
        <v>15403.0</v>
      </c>
      <c r="M20" s="1" t="str">
        <f>VLOOKUP(L20,'Catálogos'!$A$2:$B$492,2,0)</f>
        <v>Asignaciones adicionales al sueldo</v>
      </c>
      <c r="N20" s="1">
        <v>1.0</v>
      </c>
      <c r="O20" s="1">
        <v>1.0</v>
      </c>
      <c r="P20" s="1">
        <v>9.0</v>
      </c>
      <c r="Q20" s="1">
        <v>0.0</v>
      </c>
      <c r="R20" s="1">
        <v>380547.0</v>
      </c>
      <c r="S20" s="1">
        <v>366099.0</v>
      </c>
      <c r="T20" s="1">
        <v>366099.0</v>
      </c>
      <c r="U20" s="1">
        <v>366099.0</v>
      </c>
      <c r="V20" s="1">
        <v>366099.0</v>
      </c>
    </row>
    <row r="21" ht="15.75" customHeight="1">
      <c r="A21" s="1">
        <v>12.0</v>
      </c>
      <c r="B21" s="1" t="s">
        <v>22</v>
      </c>
      <c r="C21" s="1">
        <v>1.0</v>
      </c>
      <c r="D21" s="1">
        <v>3.0</v>
      </c>
      <c r="E21" s="1">
        <v>4.0</v>
      </c>
      <c r="F21" s="1">
        <v>0.0</v>
      </c>
      <c r="G21" s="1">
        <v>1.0</v>
      </c>
      <c r="H21" s="1" t="str">
        <f t="shared" si="1"/>
        <v>O001</v>
      </c>
      <c r="I21" s="1" t="s">
        <v>23</v>
      </c>
      <c r="J21" s="1">
        <v>1.0</v>
      </c>
      <c r="K21" s="2">
        <v>1000.0</v>
      </c>
      <c r="L21" s="1">
        <v>15901.0</v>
      </c>
      <c r="M21" s="1" t="str">
        <f>VLOOKUP(L21,'Catálogos'!$A$2:$B$492,2,0)</f>
        <v>Otras prestaciones</v>
      </c>
      <c r="N21" s="1">
        <v>1.0</v>
      </c>
      <c r="O21" s="1">
        <v>1.0</v>
      </c>
      <c r="P21" s="1">
        <v>9.0</v>
      </c>
      <c r="Q21" s="1">
        <v>0.0</v>
      </c>
      <c r="R21" s="1">
        <v>1120247.0</v>
      </c>
      <c r="S21" s="1">
        <v>1105122.0</v>
      </c>
      <c r="T21" s="1">
        <v>1105122.0</v>
      </c>
      <c r="U21" s="1">
        <v>1105122.0</v>
      </c>
      <c r="V21" s="1">
        <v>1105122.0</v>
      </c>
    </row>
    <row r="22" ht="15.75" customHeight="1">
      <c r="A22" s="1">
        <v>12.0</v>
      </c>
      <c r="B22" s="1" t="s">
        <v>22</v>
      </c>
      <c r="C22" s="1">
        <v>1.0</v>
      </c>
      <c r="D22" s="1">
        <v>3.0</v>
      </c>
      <c r="E22" s="1">
        <v>4.0</v>
      </c>
      <c r="F22" s="1">
        <v>0.0</v>
      </c>
      <c r="G22" s="1">
        <v>1.0</v>
      </c>
      <c r="H22" s="1" t="str">
        <f t="shared" si="1"/>
        <v>O001</v>
      </c>
      <c r="I22" s="1" t="s">
        <v>23</v>
      </c>
      <c r="J22" s="1">
        <v>1.0</v>
      </c>
      <c r="K22" s="2">
        <v>1000.0</v>
      </c>
      <c r="L22" s="1">
        <v>17102.0</v>
      </c>
      <c r="M22" s="1" t="str">
        <f>VLOOKUP(L22,'Catálogos'!$A$2:$B$492,2,0)</f>
        <v>Estímulos al personal operativo</v>
      </c>
      <c r="N22" s="1">
        <v>1.0</v>
      </c>
      <c r="O22" s="1">
        <v>1.0</v>
      </c>
      <c r="P22" s="1">
        <v>9.0</v>
      </c>
      <c r="Q22" s="1">
        <v>0.0</v>
      </c>
      <c r="R22" s="1">
        <v>169709.0</v>
      </c>
      <c r="S22" s="1">
        <v>169709.0</v>
      </c>
      <c r="T22" s="1">
        <v>169709.0</v>
      </c>
      <c r="U22" s="1">
        <v>169709.0</v>
      </c>
      <c r="V22" s="1">
        <v>169709.0</v>
      </c>
    </row>
    <row r="23" ht="15.75" customHeight="1">
      <c r="A23" s="1">
        <v>12.0</v>
      </c>
      <c r="B23" s="1" t="s">
        <v>22</v>
      </c>
      <c r="C23" s="1">
        <v>1.0</v>
      </c>
      <c r="D23" s="1">
        <v>3.0</v>
      </c>
      <c r="E23" s="1">
        <v>4.0</v>
      </c>
      <c r="F23" s="1">
        <v>0.0</v>
      </c>
      <c r="G23" s="1">
        <v>1.0</v>
      </c>
      <c r="H23" s="1" t="str">
        <f t="shared" si="1"/>
        <v>O001</v>
      </c>
      <c r="I23" s="1" t="s">
        <v>23</v>
      </c>
      <c r="J23" s="1">
        <v>1.0</v>
      </c>
      <c r="K23" s="2">
        <v>3000.0</v>
      </c>
      <c r="L23" s="1">
        <v>31101.0</v>
      </c>
      <c r="M23" s="1" t="str">
        <f>VLOOKUP(L23,'Catálogos'!$A$2:$B$492,2,0)</f>
        <v>Servicio de energía eléctrica</v>
      </c>
      <c r="N23" s="1">
        <v>1.0</v>
      </c>
      <c r="O23" s="1">
        <v>1.0</v>
      </c>
      <c r="P23" s="1">
        <v>9.0</v>
      </c>
      <c r="Q23" s="1">
        <v>0.0</v>
      </c>
      <c r="R23" s="1">
        <v>63599.0</v>
      </c>
      <c r="S23" s="1">
        <v>63599.0</v>
      </c>
      <c r="T23" s="1">
        <v>63599.0</v>
      </c>
      <c r="U23" s="1">
        <v>63599.0</v>
      </c>
      <c r="V23" s="1">
        <v>63599.0</v>
      </c>
    </row>
    <row r="24" ht="15.75" customHeight="1">
      <c r="A24" s="1">
        <v>12.0</v>
      </c>
      <c r="B24" s="1" t="s">
        <v>22</v>
      </c>
      <c r="C24" s="1">
        <v>1.0</v>
      </c>
      <c r="D24" s="1">
        <v>3.0</v>
      </c>
      <c r="E24" s="1">
        <v>4.0</v>
      </c>
      <c r="F24" s="1">
        <v>0.0</v>
      </c>
      <c r="G24" s="1">
        <v>1.0</v>
      </c>
      <c r="H24" s="1" t="str">
        <f t="shared" si="1"/>
        <v>O001</v>
      </c>
      <c r="I24" s="1" t="s">
        <v>23</v>
      </c>
      <c r="J24" s="1">
        <v>1.0</v>
      </c>
      <c r="K24" s="2">
        <v>3000.0</v>
      </c>
      <c r="L24" s="1">
        <v>31101.0</v>
      </c>
      <c r="M24" s="1" t="str">
        <f>VLOOKUP(L24,'Catálogos'!$A$2:$B$492,2,0)</f>
        <v>Servicio de energía eléctrica</v>
      </c>
      <c r="N24" s="1">
        <v>1.0</v>
      </c>
      <c r="O24" s="1">
        <v>4.0</v>
      </c>
      <c r="P24" s="1">
        <v>9.0</v>
      </c>
      <c r="Q24" s="1">
        <v>0.0</v>
      </c>
      <c r="R24" s="1">
        <v>14350.0</v>
      </c>
      <c r="S24" s="1">
        <v>78052.0</v>
      </c>
      <c r="T24" s="1">
        <v>78052.0</v>
      </c>
      <c r="U24" s="1">
        <v>78052.0</v>
      </c>
      <c r="V24" s="1">
        <v>78052.0</v>
      </c>
    </row>
    <row r="25" ht="15.75" customHeight="1">
      <c r="A25" s="1">
        <v>12.0</v>
      </c>
      <c r="B25" s="1" t="s">
        <v>22</v>
      </c>
      <c r="C25" s="1">
        <v>1.0</v>
      </c>
      <c r="D25" s="1">
        <v>3.0</v>
      </c>
      <c r="E25" s="1">
        <v>4.0</v>
      </c>
      <c r="F25" s="1">
        <v>0.0</v>
      </c>
      <c r="G25" s="1">
        <v>1.0</v>
      </c>
      <c r="H25" s="1" t="str">
        <f t="shared" si="1"/>
        <v>O001</v>
      </c>
      <c r="I25" s="1" t="s">
        <v>23</v>
      </c>
      <c r="J25" s="1">
        <v>1.0</v>
      </c>
      <c r="K25" s="2">
        <v>3000.0</v>
      </c>
      <c r="L25" s="1">
        <v>31401.0</v>
      </c>
      <c r="M25" s="1" t="str">
        <f>VLOOKUP(L25,'Catálogos'!$A$2:$B$492,2,0)</f>
        <v>Servicio telefónico convencional</v>
      </c>
      <c r="N25" s="1">
        <v>1.0</v>
      </c>
      <c r="O25" s="1">
        <v>1.0</v>
      </c>
      <c r="P25" s="1">
        <v>9.0</v>
      </c>
      <c r="Q25" s="1">
        <v>0.0</v>
      </c>
      <c r="R25" s="1">
        <v>11135.0</v>
      </c>
      <c r="S25" s="1">
        <v>11135.0</v>
      </c>
      <c r="T25" s="1">
        <v>11135.0</v>
      </c>
      <c r="U25" s="1">
        <v>11135.0</v>
      </c>
      <c r="V25" s="1">
        <v>11135.0</v>
      </c>
    </row>
    <row r="26" ht="15.75" customHeight="1">
      <c r="A26" s="1">
        <v>12.0</v>
      </c>
      <c r="B26" s="1" t="s">
        <v>22</v>
      </c>
      <c r="C26" s="1">
        <v>1.0</v>
      </c>
      <c r="D26" s="1">
        <v>3.0</v>
      </c>
      <c r="E26" s="1">
        <v>4.0</v>
      </c>
      <c r="F26" s="1">
        <v>0.0</v>
      </c>
      <c r="G26" s="1">
        <v>1.0</v>
      </c>
      <c r="H26" s="1" t="str">
        <f t="shared" si="1"/>
        <v>O001</v>
      </c>
      <c r="I26" s="1" t="s">
        <v>23</v>
      </c>
      <c r="J26" s="1">
        <v>1.0</v>
      </c>
      <c r="K26" s="2">
        <v>3000.0</v>
      </c>
      <c r="L26" s="1">
        <v>31401.0</v>
      </c>
      <c r="M26" s="1" t="str">
        <f>VLOOKUP(L26,'Catálogos'!$A$2:$B$492,2,0)</f>
        <v>Servicio telefónico convencional</v>
      </c>
      <c r="N26" s="1">
        <v>1.0</v>
      </c>
      <c r="O26" s="1">
        <v>4.0</v>
      </c>
      <c r="P26" s="1">
        <v>9.0</v>
      </c>
      <c r="Q26" s="1">
        <v>0.0</v>
      </c>
      <c r="R26" s="1">
        <v>944.0</v>
      </c>
      <c r="S26" s="1">
        <v>472.0</v>
      </c>
      <c r="T26" s="1">
        <v>472.0</v>
      </c>
      <c r="U26" s="1">
        <v>472.0</v>
      </c>
      <c r="V26" s="1">
        <v>472.0</v>
      </c>
    </row>
    <row r="27" ht="15.75" customHeight="1">
      <c r="A27" s="1">
        <v>12.0</v>
      </c>
      <c r="B27" s="1" t="s">
        <v>22</v>
      </c>
      <c r="C27" s="1">
        <v>1.0</v>
      </c>
      <c r="D27" s="1">
        <v>3.0</v>
      </c>
      <c r="E27" s="1">
        <v>4.0</v>
      </c>
      <c r="F27" s="1">
        <v>0.0</v>
      </c>
      <c r="G27" s="1">
        <v>1.0</v>
      </c>
      <c r="H27" s="1" t="str">
        <f t="shared" si="1"/>
        <v>O001</v>
      </c>
      <c r="I27" s="1" t="s">
        <v>23</v>
      </c>
      <c r="J27" s="1">
        <v>1.0</v>
      </c>
      <c r="K27" s="2">
        <v>3000.0</v>
      </c>
      <c r="L27" s="1">
        <v>31701.0</v>
      </c>
      <c r="M27" s="1" t="str">
        <f>VLOOKUP(L27,'Catálogos'!$A$2:$B$492,2,0)</f>
        <v>Servicios de conducción de señales analógicas y digitales</v>
      </c>
      <c r="N27" s="1">
        <v>1.0</v>
      </c>
      <c r="O27" s="1">
        <v>1.0</v>
      </c>
      <c r="P27" s="1">
        <v>9.0</v>
      </c>
      <c r="Q27" s="1">
        <v>0.0</v>
      </c>
      <c r="R27" s="1">
        <v>6434.0</v>
      </c>
      <c r="S27" s="1">
        <v>1927.0</v>
      </c>
      <c r="T27" s="1">
        <v>1927.0</v>
      </c>
      <c r="U27" s="1">
        <v>1927.0</v>
      </c>
      <c r="V27" s="1">
        <v>1927.0</v>
      </c>
    </row>
    <row r="28" ht="15.75" customHeight="1">
      <c r="A28" s="1">
        <v>12.0</v>
      </c>
      <c r="B28" s="1" t="s">
        <v>22</v>
      </c>
      <c r="C28" s="1">
        <v>1.0</v>
      </c>
      <c r="D28" s="1">
        <v>3.0</v>
      </c>
      <c r="E28" s="1">
        <v>4.0</v>
      </c>
      <c r="F28" s="1">
        <v>0.0</v>
      </c>
      <c r="G28" s="1">
        <v>1.0</v>
      </c>
      <c r="H28" s="1" t="str">
        <f t="shared" si="1"/>
        <v>O001</v>
      </c>
      <c r="I28" s="1" t="s">
        <v>23</v>
      </c>
      <c r="J28" s="1">
        <v>1.0</v>
      </c>
      <c r="K28" s="2">
        <v>3000.0</v>
      </c>
      <c r="L28" s="1">
        <v>31701.0</v>
      </c>
      <c r="M28" s="1" t="str">
        <f>VLOOKUP(L28,'Catálogos'!$A$2:$B$492,2,0)</f>
        <v>Servicios de conducción de señales analógicas y digitales</v>
      </c>
      <c r="N28" s="1">
        <v>1.0</v>
      </c>
      <c r="O28" s="1">
        <v>4.0</v>
      </c>
      <c r="P28" s="1">
        <v>9.0</v>
      </c>
      <c r="Q28" s="1">
        <v>0.0</v>
      </c>
      <c r="R28" s="1">
        <v>5000.0</v>
      </c>
      <c r="S28" s="1">
        <v>0.0</v>
      </c>
      <c r="T28" s="1">
        <v>0.0</v>
      </c>
      <c r="U28" s="1">
        <v>0.0</v>
      </c>
      <c r="V28" s="1">
        <v>0.0</v>
      </c>
    </row>
    <row r="29" ht="15.75" customHeight="1">
      <c r="A29" s="1">
        <v>12.0</v>
      </c>
      <c r="B29" s="1" t="s">
        <v>22</v>
      </c>
      <c r="C29" s="1">
        <v>1.0</v>
      </c>
      <c r="D29" s="1">
        <v>3.0</v>
      </c>
      <c r="E29" s="1">
        <v>4.0</v>
      </c>
      <c r="F29" s="1">
        <v>0.0</v>
      </c>
      <c r="G29" s="1">
        <v>1.0</v>
      </c>
      <c r="H29" s="1" t="str">
        <f t="shared" si="1"/>
        <v>O001</v>
      </c>
      <c r="I29" s="1" t="s">
        <v>23</v>
      </c>
      <c r="J29" s="1">
        <v>1.0</v>
      </c>
      <c r="K29" s="2">
        <v>3000.0</v>
      </c>
      <c r="L29" s="1">
        <v>32301.0</v>
      </c>
      <c r="M29" s="1" t="str">
        <f>VLOOKUP(L29,'Catálogos'!$A$2:$B$492,2,0)</f>
        <v>Arrendamiento de equipo y bienes informáticos</v>
      </c>
      <c r="N29" s="1">
        <v>1.0</v>
      </c>
      <c r="O29" s="1">
        <v>1.0</v>
      </c>
      <c r="P29" s="1">
        <v>9.0</v>
      </c>
      <c r="Q29" s="1">
        <v>0.0</v>
      </c>
      <c r="R29" s="1">
        <v>2294.0</v>
      </c>
      <c r="S29" s="1">
        <v>25776.0</v>
      </c>
      <c r="T29" s="1">
        <v>25776.0</v>
      </c>
      <c r="U29" s="1">
        <v>25776.0</v>
      </c>
      <c r="V29" s="1">
        <v>25776.0</v>
      </c>
    </row>
    <row r="30" ht="15.75" customHeight="1">
      <c r="A30" s="1">
        <v>12.0</v>
      </c>
      <c r="B30" s="1" t="s">
        <v>22</v>
      </c>
      <c r="C30" s="1">
        <v>1.0</v>
      </c>
      <c r="D30" s="1">
        <v>3.0</v>
      </c>
      <c r="E30" s="1">
        <v>4.0</v>
      </c>
      <c r="F30" s="1">
        <v>0.0</v>
      </c>
      <c r="G30" s="1">
        <v>1.0</v>
      </c>
      <c r="H30" s="1" t="str">
        <f t="shared" si="1"/>
        <v>O001</v>
      </c>
      <c r="I30" s="1" t="s">
        <v>23</v>
      </c>
      <c r="J30" s="1">
        <v>1.0</v>
      </c>
      <c r="K30" s="2">
        <v>3000.0</v>
      </c>
      <c r="L30" s="1">
        <v>32301.0</v>
      </c>
      <c r="M30" s="1" t="str">
        <f>VLOOKUP(L30,'Catálogos'!$A$2:$B$492,2,0)</f>
        <v>Arrendamiento de equipo y bienes informáticos</v>
      </c>
      <c r="N30" s="1">
        <v>1.0</v>
      </c>
      <c r="O30" s="1">
        <v>4.0</v>
      </c>
      <c r="P30" s="1">
        <v>9.0</v>
      </c>
      <c r="Q30" s="1">
        <v>0.0</v>
      </c>
      <c r="R30" s="1">
        <v>23654.0</v>
      </c>
      <c r="S30" s="1">
        <v>0.0</v>
      </c>
      <c r="T30" s="1">
        <v>0.0</v>
      </c>
      <c r="U30" s="1">
        <v>0.0</v>
      </c>
      <c r="V30" s="1">
        <v>0.0</v>
      </c>
    </row>
    <row r="31" ht="15.75" customHeight="1">
      <c r="A31" s="1">
        <v>12.0</v>
      </c>
      <c r="B31" s="1" t="s">
        <v>22</v>
      </c>
      <c r="C31" s="1">
        <v>1.0</v>
      </c>
      <c r="D31" s="1">
        <v>3.0</v>
      </c>
      <c r="E31" s="1">
        <v>4.0</v>
      </c>
      <c r="F31" s="1">
        <v>0.0</v>
      </c>
      <c r="G31" s="1">
        <v>1.0</v>
      </c>
      <c r="H31" s="1" t="str">
        <f t="shared" si="1"/>
        <v>O001</v>
      </c>
      <c r="I31" s="1" t="s">
        <v>23</v>
      </c>
      <c r="J31" s="1">
        <v>1.0</v>
      </c>
      <c r="K31" s="2">
        <v>3000.0</v>
      </c>
      <c r="L31" s="1">
        <v>33801.0</v>
      </c>
      <c r="M31" s="1" t="str">
        <f>VLOOKUP(L31,'Catálogos'!$A$2:$B$492,2,0)</f>
        <v>Servicios de vigilancia</v>
      </c>
      <c r="N31" s="1">
        <v>1.0</v>
      </c>
      <c r="O31" s="1">
        <v>1.0</v>
      </c>
      <c r="P31" s="1">
        <v>9.0</v>
      </c>
      <c r="Q31" s="1">
        <v>0.0</v>
      </c>
      <c r="R31" s="1">
        <v>199017.0</v>
      </c>
      <c r="S31" s="1">
        <v>199017.0</v>
      </c>
      <c r="T31" s="1">
        <v>199017.0</v>
      </c>
      <c r="U31" s="1">
        <v>199017.0</v>
      </c>
      <c r="V31" s="1">
        <v>199017.0</v>
      </c>
    </row>
    <row r="32" ht="15.75" customHeight="1">
      <c r="A32" s="1">
        <v>12.0</v>
      </c>
      <c r="B32" s="1" t="s">
        <v>22</v>
      </c>
      <c r="C32" s="1">
        <v>1.0</v>
      </c>
      <c r="D32" s="1">
        <v>3.0</v>
      </c>
      <c r="E32" s="1">
        <v>4.0</v>
      </c>
      <c r="F32" s="1">
        <v>0.0</v>
      </c>
      <c r="G32" s="1">
        <v>1.0</v>
      </c>
      <c r="H32" s="1" t="str">
        <f t="shared" si="1"/>
        <v>O001</v>
      </c>
      <c r="I32" s="1" t="s">
        <v>23</v>
      </c>
      <c r="J32" s="1">
        <v>1.0</v>
      </c>
      <c r="K32" s="2">
        <v>3000.0</v>
      </c>
      <c r="L32" s="1">
        <v>33801.0</v>
      </c>
      <c r="M32" s="1" t="str">
        <f>VLOOKUP(L32,'Catálogos'!$A$2:$B$492,2,0)</f>
        <v>Servicios de vigilancia</v>
      </c>
      <c r="N32" s="1">
        <v>1.0</v>
      </c>
      <c r="O32" s="1">
        <v>4.0</v>
      </c>
      <c r="P32" s="1">
        <v>9.0</v>
      </c>
      <c r="Q32" s="1">
        <v>0.0</v>
      </c>
      <c r="R32" s="1">
        <v>30000.0</v>
      </c>
      <c r="S32" s="1">
        <v>0.0</v>
      </c>
      <c r="T32" s="1">
        <v>0.0</v>
      </c>
      <c r="U32" s="1">
        <v>0.0</v>
      </c>
      <c r="V32" s="1">
        <v>0.0</v>
      </c>
    </row>
    <row r="33" ht="15.75" customHeight="1">
      <c r="A33" s="1">
        <v>12.0</v>
      </c>
      <c r="B33" s="1" t="s">
        <v>22</v>
      </c>
      <c r="C33" s="1">
        <v>1.0</v>
      </c>
      <c r="D33" s="1">
        <v>3.0</v>
      </c>
      <c r="E33" s="1">
        <v>4.0</v>
      </c>
      <c r="F33" s="1">
        <v>0.0</v>
      </c>
      <c r="G33" s="1">
        <v>1.0</v>
      </c>
      <c r="H33" s="1" t="str">
        <f t="shared" si="1"/>
        <v>O001</v>
      </c>
      <c r="I33" s="1" t="s">
        <v>23</v>
      </c>
      <c r="J33" s="1">
        <v>1.0</v>
      </c>
      <c r="K33" s="2">
        <v>3000.0</v>
      </c>
      <c r="L33" s="1">
        <v>33901.0</v>
      </c>
      <c r="M33" s="1" t="str">
        <f>VLOOKUP(L33,'Catálogos'!$A$2:$B$492,2,0)</f>
        <v>Subcontratación de servicios con terceros</v>
      </c>
      <c r="N33" s="1">
        <v>1.0</v>
      </c>
      <c r="O33" s="1">
        <v>1.0</v>
      </c>
      <c r="P33" s="1">
        <v>9.0</v>
      </c>
      <c r="Q33" s="1">
        <v>0.0</v>
      </c>
      <c r="R33" s="1">
        <v>104130.0</v>
      </c>
      <c r="S33" s="1">
        <v>104130.0</v>
      </c>
      <c r="T33" s="1">
        <v>104130.0</v>
      </c>
      <c r="U33" s="1">
        <v>104130.0</v>
      </c>
      <c r="V33" s="1">
        <v>104130.0</v>
      </c>
    </row>
    <row r="34" ht="15.75" customHeight="1">
      <c r="A34" s="1">
        <v>12.0</v>
      </c>
      <c r="B34" s="1" t="s">
        <v>22</v>
      </c>
      <c r="C34" s="1">
        <v>1.0</v>
      </c>
      <c r="D34" s="1">
        <v>3.0</v>
      </c>
      <c r="E34" s="1">
        <v>4.0</v>
      </c>
      <c r="F34" s="1">
        <v>0.0</v>
      </c>
      <c r="G34" s="1">
        <v>1.0</v>
      </c>
      <c r="H34" s="1" t="str">
        <f t="shared" si="1"/>
        <v>O001</v>
      </c>
      <c r="I34" s="1" t="s">
        <v>23</v>
      </c>
      <c r="J34" s="1">
        <v>1.0</v>
      </c>
      <c r="K34" s="2">
        <v>3000.0</v>
      </c>
      <c r="L34" s="1">
        <v>33901.0</v>
      </c>
      <c r="M34" s="1" t="str">
        <f>VLOOKUP(L34,'Catálogos'!$A$2:$B$492,2,0)</f>
        <v>Subcontratación de servicios con terceros</v>
      </c>
      <c r="N34" s="1">
        <v>1.0</v>
      </c>
      <c r="O34" s="1">
        <v>4.0</v>
      </c>
      <c r="P34" s="1">
        <v>9.0</v>
      </c>
      <c r="Q34" s="1">
        <v>0.0</v>
      </c>
      <c r="R34" s="1">
        <v>0.0</v>
      </c>
      <c r="S34" s="1">
        <v>9024.0</v>
      </c>
      <c r="T34" s="1">
        <v>0.0</v>
      </c>
      <c r="U34" s="1">
        <v>0.0</v>
      </c>
      <c r="V34" s="1">
        <v>0.0</v>
      </c>
    </row>
    <row r="35" ht="15.75" customHeight="1">
      <c r="A35" s="1">
        <v>12.0</v>
      </c>
      <c r="B35" s="1" t="s">
        <v>22</v>
      </c>
      <c r="C35" s="1">
        <v>1.0</v>
      </c>
      <c r="D35" s="1">
        <v>3.0</v>
      </c>
      <c r="E35" s="1">
        <v>4.0</v>
      </c>
      <c r="F35" s="1">
        <v>0.0</v>
      </c>
      <c r="G35" s="1">
        <v>1.0</v>
      </c>
      <c r="H35" s="1" t="str">
        <f t="shared" si="1"/>
        <v>O001</v>
      </c>
      <c r="I35" s="1" t="s">
        <v>23</v>
      </c>
      <c r="J35" s="1">
        <v>1.0</v>
      </c>
      <c r="K35" s="2">
        <v>3000.0</v>
      </c>
      <c r="L35" s="1">
        <v>34501.0</v>
      </c>
      <c r="M35" s="1" t="str">
        <f>VLOOKUP(L35,'Catálogos'!$A$2:$B$492,2,0)</f>
        <v>Seguros de bienes patrimoniales</v>
      </c>
      <c r="N35" s="1">
        <v>1.0</v>
      </c>
      <c r="O35" s="1">
        <v>1.0</v>
      </c>
      <c r="P35" s="1">
        <v>9.0</v>
      </c>
      <c r="Q35" s="1">
        <v>0.0</v>
      </c>
      <c r="R35" s="1">
        <v>40424.0</v>
      </c>
      <c r="S35" s="1">
        <v>17160.0</v>
      </c>
      <c r="T35" s="1">
        <v>17160.0</v>
      </c>
      <c r="U35" s="1">
        <v>17160.0</v>
      </c>
      <c r="V35" s="1">
        <v>17160.0</v>
      </c>
    </row>
    <row r="36" ht="15.75" customHeight="1">
      <c r="A36" s="1">
        <v>12.0</v>
      </c>
      <c r="B36" s="1" t="s">
        <v>22</v>
      </c>
      <c r="C36" s="1">
        <v>1.0</v>
      </c>
      <c r="D36" s="1">
        <v>3.0</v>
      </c>
      <c r="E36" s="1">
        <v>4.0</v>
      </c>
      <c r="F36" s="1">
        <v>0.0</v>
      </c>
      <c r="G36" s="1">
        <v>1.0</v>
      </c>
      <c r="H36" s="1" t="str">
        <f t="shared" si="1"/>
        <v>O001</v>
      </c>
      <c r="I36" s="1" t="s">
        <v>23</v>
      </c>
      <c r="J36" s="1">
        <v>1.0</v>
      </c>
      <c r="K36" s="2">
        <v>3000.0</v>
      </c>
      <c r="L36" s="1">
        <v>35701.0</v>
      </c>
      <c r="M36" s="1" t="str">
        <f>VLOOKUP(L36,'Catálogos'!$A$2:$B$492,2,0)</f>
        <v>Mantenimiento y conservación de maquinaria y equipo</v>
      </c>
      <c r="N36" s="1">
        <v>1.0</v>
      </c>
      <c r="O36" s="1">
        <v>1.0</v>
      </c>
      <c r="P36" s="1">
        <v>9.0</v>
      </c>
      <c r="Q36" s="1">
        <v>0.0</v>
      </c>
      <c r="R36" s="1">
        <v>0.0</v>
      </c>
      <c r="S36" s="1">
        <v>3712.0</v>
      </c>
      <c r="T36" s="1">
        <v>3712.0</v>
      </c>
      <c r="U36" s="1">
        <v>3712.0</v>
      </c>
      <c r="V36" s="1">
        <v>3712.0</v>
      </c>
    </row>
    <row r="37" ht="15.75" customHeight="1">
      <c r="A37" s="1">
        <v>12.0</v>
      </c>
      <c r="B37" s="1" t="s">
        <v>22</v>
      </c>
      <c r="C37" s="1">
        <v>1.0</v>
      </c>
      <c r="D37" s="1">
        <v>3.0</v>
      </c>
      <c r="E37" s="1">
        <v>4.0</v>
      </c>
      <c r="F37" s="1">
        <v>0.0</v>
      </c>
      <c r="G37" s="1">
        <v>1.0</v>
      </c>
      <c r="H37" s="1" t="str">
        <f t="shared" si="1"/>
        <v>O001</v>
      </c>
      <c r="I37" s="1" t="s">
        <v>23</v>
      </c>
      <c r="J37" s="1">
        <v>1.0</v>
      </c>
      <c r="K37" s="2">
        <v>3000.0</v>
      </c>
      <c r="L37" s="1">
        <v>35801.0</v>
      </c>
      <c r="M37" s="1" t="str">
        <f>VLOOKUP(L37,'Catálogos'!$A$2:$B$492,2,0)</f>
        <v>Servicios de lavandería, limpieza e higiene</v>
      </c>
      <c r="N37" s="1">
        <v>1.0</v>
      </c>
      <c r="O37" s="1">
        <v>1.0</v>
      </c>
      <c r="P37" s="1">
        <v>9.0</v>
      </c>
      <c r="Q37" s="1">
        <v>0.0</v>
      </c>
      <c r="R37" s="1">
        <v>156144.0</v>
      </c>
      <c r="S37" s="1">
        <v>93735.0</v>
      </c>
      <c r="T37" s="1">
        <v>93735.0</v>
      </c>
      <c r="U37" s="1">
        <v>93735.0</v>
      </c>
      <c r="V37" s="1">
        <v>93735.0</v>
      </c>
    </row>
    <row r="38" ht="15.75" customHeight="1">
      <c r="A38" s="1">
        <v>12.0</v>
      </c>
      <c r="B38" s="1" t="s">
        <v>22</v>
      </c>
      <c r="C38" s="1">
        <v>1.0</v>
      </c>
      <c r="D38" s="1">
        <v>3.0</v>
      </c>
      <c r="E38" s="1">
        <v>4.0</v>
      </c>
      <c r="F38" s="1">
        <v>0.0</v>
      </c>
      <c r="G38" s="1">
        <v>1.0</v>
      </c>
      <c r="H38" s="1" t="str">
        <f t="shared" si="1"/>
        <v>O001</v>
      </c>
      <c r="I38" s="1" t="s">
        <v>23</v>
      </c>
      <c r="J38" s="1">
        <v>1.0</v>
      </c>
      <c r="K38" s="2">
        <v>3000.0</v>
      </c>
      <c r="L38" s="1">
        <v>35801.0</v>
      </c>
      <c r="M38" s="1" t="str">
        <f>VLOOKUP(L38,'Catálogos'!$A$2:$B$492,2,0)</f>
        <v>Servicios de lavandería, limpieza e higiene</v>
      </c>
      <c r="N38" s="1">
        <v>1.0</v>
      </c>
      <c r="O38" s="1">
        <v>4.0</v>
      </c>
      <c r="P38" s="1">
        <v>9.0</v>
      </c>
      <c r="Q38" s="1">
        <v>0.0</v>
      </c>
      <c r="R38" s="1">
        <v>13000.0</v>
      </c>
      <c r="S38" s="1">
        <v>0.0</v>
      </c>
      <c r="T38" s="1">
        <v>0.0</v>
      </c>
      <c r="U38" s="1">
        <v>0.0</v>
      </c>
      <c r="V38" s="1">
        <v>0.0</v>
      </c>
    </row>
    <row r="39" ht="15.75" customHeight="1">
      <c r="A39" s="1">
        <v>12.0</v>
      </c>
      <c r="B39" s="1" t="s">
        <v>22</v>
      </c>
      <c r="C39" s="1">
        <v>1.0</v>
      </c>
      <c r="D39" s="1">
        <v>3.0</v>
      </c>
      <c r="E39" s="1">
        <v>4.0</v>
      </c>
      <c r="F39" s="1">
        <v>0.0</v>
      </c>
      <c r="G39" s="1">
        <v>1.0</v>
      </c>
      <c r="H39" s="1" t="str">
        <f t="shared" si="1"/>
        <v>O001</v>
      </c>
      <c r="I39" s="1" t="s">
        <v>23</v>
      </c>
      <c r="J39" s="1">
        <v>1.0</v>
      </c>
      <c r="K39" s="2">
        <v>3000.0</v>
      </c>
      <c r="L39" s="1">
        <v>35901.0</v>
      </c>
      <c r="M39" s="1" t="str">
        <f>VLOOKUP(L39,'Catálogos'!$A$2:$B$492,2,0)</f>
        <v>Servicios de jardinería y fumigación</v>
      </c>
      <c r="N39" s="1">
        <v>1.0</v>
      </c>
      <c r="O39" s="1">
        <v>1.0</v>
      </c>
      <c r="P39" s="1">
        <v>9.0</v>
      </c>
      <c r="Q39" s="1">
        <v>0.0</v>
      </c>
      <c r="R39" s="1">
        <v>2770.0</v>
      </c>
      <c r="S39" s="1">
        <v>3197.0</v>
      </c>
      <c r="T39" s="1">
        <v>3197.0</v>
      </c>
      <c r="U39" s="1">
        <v>3197.0</v>
      </c>
      <c r="V39" s="1">
        <v>3197.0</v>
      </c>
    </row>
    <row r="40" ht="15.75" customHeight="1">
      <c r="A40" s="1">
        <v>12.0</v>
      </c>
      <c r="B40" s="1" t="s">
        <v>22</v>
      </c>
      <c r="C40" s="1">
        <v>1.0</v>
      </c>
      <c r="D40" s="1">
        <v>3.0</v>
      </c>
      <c r="E40" s="1">
        <v>4.0</v>
      </c>
      <c r="F40" s="1">
        <v>0.0</v>
      </c>
      <c r="G40" s="1">
        <v>1.0</v>
      </c>
      <c r="H40" s="1" t="str">
        <f t="shared" si="1"/>
        <v>O001</v>
      </c>
      <c r="I40" s="1" t="s">
        <v>23</v>
      </c>
      <c r="J40" s="1">
        <v>1.0</v>
      </c>
      <c r="K40" s="2">
        <v>3000.0</v>
      </c>
      <c r="L40" s="1">
        <v>35901.0</v>
      </c>
      <c r="M40" s="1" t="str">
        <f>VLOOKUP(L40,'Catálogos'!$A$2:$B$492,2,0)</f>
        <v>Servicios de jardinería y fumigación</v>
      </c>
      <c r="N40" s="1">
        <v>1.0</v>
      </c>
      <c r="O40" s="1">
        <v>4.0</v>
      </c>
      <c r="P40" s="1">
        <v>9.0</v>
      </c>
      <c r="Q40" s="1">
        <v>0.0</v>
      </c>
      <c r="R40" s="1">
        <v>600.0</v>
      </c>
      <c r="S40" s="1">
        <v>0.0</v>
      </c>
      <c r="T40" s="1">
        <v>0.0</v>
      </c>
      <c r="U40" s="1">
        <v>0.0</v>
      </c>
      <c r="V40" s="1">
        <v>0.0</v>
      </c>
    </row>
    <row r="41" ht="15.75" customHeight="1">
      <c r="A41" s="1">
        <v>12.0</v>
      </c>
      <c r="B41" s="1" t="s">
        <v>22</v>
      </c>
      <c r="C41" s="1">
        <v>1.0</v>
      </c>
      <c r="D41" s="1">
        <v>3.0</v>
      </c>
      <c r="E41" s="1">
        <v>4.0</v>
      </c>
      <c r="F41" s="1">
        <v>0.0</v>
      </c>
      <c r="G41" s="1">
        <v>1.0</v>
      </c>
      <c r="H41" s="1" t="str">
        <f t="shared" si="1"/>
        <v>O001</v>
      </c>
      <c r="I41" s="1" t="s">
        <v>23</v>
      </c>
      <c r="J41" s="1">
        <v>1.0</v>
      </c>
      <c r="K41" s="2">
        <v>3000.0</v>
      </c>
      <c r="L41" s="1">
        <v>39801.0</v>
      </c>
      <c r="M41" s="1" t="str">
        <f>VLOOKUP(L41,'Catálogos'!$A$2:$B$492,2,0)</f>
        <v>Impuesto sobre nóminas</v>
      </c>
      <c r="N41" s="1">
        <v>1.0</v>
      </c>
      <c r="O41" s="1">
        <v>1.0</v>
      </c>
      <c r="P41" s="1">
        <v>9.0</v>
      </c>
      <c r="Q41" s="1">
        <v>0.0</v>
      </c>
      <c r="R41" s="1">
        <v>94643.0</v>
      </c>
      <c r="S41" s="1">
        <v>117524.0</v>
      </c>
      <c r="T41" s="1">
        <v>117524.0</v>
      </c>
      <c r="U41" s="1">
        <v>117524.0</v>
      </c>
      <c r="V41" s="1">
        <v>117524.0</v>
      </c>
    </row>
    <row r="42" ht="15.75" customHeight="1">
      <c r="A42" s="1">
        <v>12.0</v>
      </c>
      <c r="B42" s="1" t="s">
        <v>22</v>
      </c>
      <c r="C42" s="1">
        <v>2.0</v>
      </c>
      <c r="D42" s="1">
        <v>3.0</v>
      </c>
      <c r="E42" s="1">
        <v>2.0</v>
      </c>
      <c r="F42" s="1">
        <v>0.0</v>
      </c>
      <c r="G42" s="1">
        <v>18.0</v>
      </c>
      <c r="H42" s="1" t="str">
        <f t="shared" ref="H42:H208" si="2">I42&amp;"0"&amp;J42</f>
        <v>E023</v>
      </c>
      <c r="I42" s="1" t="s">
        <v>42</v>
      </c>
      <c r="J42" s="1">
        <v>23.0</v>
      </c>
      <c r="K42" s="2">
        <v>1000.0</v>
      </c>
      <c r="L42" s="1">
        <v>11301.0</v>
      </c>
      <c r="M42" s="1" t="str">
        <f>VLOOKUP(L42,'Catálogos'!$A$2:$B$492,2,0)</f>
        <v>Sueldos base</v>
      </c>
      <c r="N42" s="1">
        <v>1.0</v>
      </c>
      <c r="O42" s="1">
        <v>1.0</v>
      </c>
      <c r="P42" s="1">
        <v>9.0</v>
      </c>
      <c r="Q42" s="1">
        <v>0.0</v>
      </c>
      <c r="R42" s="1">
        <v>1.67880258E8</v>
      </c>
      <c r="S42" s="1">
        <v>2.19176585E8</v>
      </c>
      <c r="T42" s="1">
        <v>2.19176585E8</v>
      </c>
      <c r="U42" s="1">
        <v>2.19176585E8</v>
      </c>
      <c r="V42" s="1">
        <v>2.19176585E8</v>
      </c>
    </row>
    <row r="43" ht="15.75" customHeight="1">
      <c r="A43" s="1">
        <v>12.0</v>
      </c>
      <c r="B43" s="1" t="s">
        <v>22</v>
      </c>
      <c r="C43" s="1">
        <v>2.0</v>
      </c>
      <c r="D43" s="1">
        <v>3.0</v>
      </c>
      <c r="E43" s="1">
        <v>2.0</v>
      </c>
      <c r="F43" s="1">
        <v>0.0</v>
      </c>
      <c r="G43" s="1">
        <v>18.0</v>
      </c>
      <c r="H43" s="1" t="str">
        <f t="shared" si="2"/>
        <v>E023</v>
      </c>
      <c r="I43" s="1" t="s">
        <v>42</v>
      </c>
      <c r="J43" s="1">
        <v>23.0</v>
      </c>
      <c r="K43" s="2">
        <v>1000.0</v>
      </c>
      <c r="L43" s="1">
        <v>12201.0</v>
      </c>
      <c r="M43" s="1" t="str">
        <f>VLOOKUP(L43,'Catálogos'!$A$2:$B$492,2,0)</f>
        <v>Sueldos base al personal eventual</v>
      </c>
      <c r="N43" s="1">
        <v>1.0</v>
      </c>
      <c r="O43" s="1">
        <v>1.0</v>
      </c>
      <c r="P43" s="1">
        <v>9.0</v>
      </c>
      <c r="Q43" s="1">
        <v>0.0</v>
      </c>
      <c r="R43" s="1">
        <v>0.0</v>
      </c>
      <c r="S43" s="1">
        <v>3.3484005E7</v>
      </c>
      <c r="T43" s="1">
        <v>3.3484005E7</v>
      </c>
      <c r="U43" s="1">
        <v>3.3484005E7</v>
      </c>
      <c r="V43" s="1">
        <v>3.3484005E7</v>
      </c>
    </row>
    <row r="44" ht="15.75" customHeight="1">
      <c r="A44" s="1">
        <v>12.0</v>
      </c>
      <c r="B44" s="1" t="s">
        <v>22</v>
      </c>
      <c r="C44" s="1">
        <v>2.0</v>
      </c>
      <c r="D44" s="1">
        <v>3.0</v>
      </c>
      <c r="E44" s="1">
        <v>2.0</v>
      </c>
      <c r="F44" s="1">
        <v>0.0</v>
      </c>
      <c r="G44" s="1">
        <v>18.0</v>
      </c>
      <c r="H44" s="1" t="str">
        <f t="shared" si="2"/>
        <v>E023</v>
      </c>
      <c r="I44" s="1" t="s">
        <v>42</v>
      </c>
      <c r="J44" s="1">
        <v>23.0</v>
      </c>
      <c r="K44" s="2">
        <v>1000.0</v>
      </c>
      <c r="L44" s="1">
        <v>13101.0</v>
      </c>
      <c r="M44" s="1" t="str">
        <f>VLOOKUP(L44,'Catálogos'!$A$2:$B$492,2,0)</f>
        <v>Prima quinquenal por años de servicios efectivos prestados</v>
      </c>
      <c r="N44" s="1">
        <v>1.0</v>
      </c>
      <c r="O44" s="1">
        <v>1.0</v>
      </c>
      <c r="P44" s="1">
        <v>9.0</v>
      </c>
      <c r="Q44" s="1">
        <v>0.0</v>
      </c>
      <c r="R44" s="1">
        <v>3954856.0</v>
      </c>
      <c r="S44" s="1">
        <v>4357776.0</v>
      </c>
      <c r="T44" s="1">
        <v>4357776.0</v>
      </c>
      <c r="U44" s="1">
        <v>4357776.0</v>
      </c>
      <c r="V44" s="1">
        <v>4357776.0</v>
      </c>
    </row>
    <row r="45" ht="15.75" customHeight="1">
      <c r="A45" s="1">
        <v>12.0</v>
      </c>
      <c r="B45" s="1" t="s">
        <v>22</v>
      </c>
      <c r="C45" s="1">
        <v>2.0</v>
      </c>
      <c r="D45" s="1">
        <v>3.0</v>
      </c>
      <c r="E45" s="1">
        <v>2.0</v>
      </c>
      <c r="F45" s="1">
        <v>0.0</v>
      </c>
      <c r="G45" s="1">
        <v>18.0</v>
      </c>
      <c r="H45" s="1" t="str">
        <f t="shared" si="2"/>
        <v>E023</v>
      </c>
      <c r="I45" s="1" t="s">
        <v>42</v>
      </c>
      <c r="J45" s="1">
        <v>23.0</v>
      </c>
      <c r="K45" s="2">
        <v>1000.0</v>
      </c>
      <c r="L45" s="1">
        <v>13201.0</v>
      </c>
      <c r="M45" s="1" t="str">
        <f>VLOOKUP(L45,'Catálogos'!$A$2:$B$492,2,0)</f>
        <v>Primas de vacaciones y dominical</v>
      </c>
      <c r="N45" s="1">
        <v>1.0</v>
      </c>
      <c r="O45" s="1">
        <v>1.0</v>
      </c>
      <c r="P45" s="1">
        <v>9.0</v>
      </c>
      <c r="Q45" s="1">
        <v>0.0</v>
      </c>
      <c r="R45" s="1">
        <v>6981832.0</v>
      </c>
      <c r="S45" s="1">
        <v>1.1570305E7</v>
      </c>
      <c r="T45" s="1">
        <v>1.1570305E7</v>
      </c>
      <c r="U45" s="1">
        <v>1.1570305E7</v>
      </c>
      <c r="V45" s="1">
        <v>1.1570305E7</v>
      </c>
    </row>
    <row r="46" ht="15.75" customHeight="1">
      <c r="A46" s="1">
        <v>12.0</v>
      </c>
      <c r="B46" s="1" t="s">
        <v>22</v>
      </c>
      <c r="C46" s="1">
        <v>2.0</v>
      </c>
      <c r="D46" s="1">
        <v>3.0</v>
      </c>
      <c r="E46" s="1">
        <v>2.0</v>
      </c>
      <c r="F46" s="1">
        <v>0.0</v>
      </c>
      <c r="G46" s="1">
        <v>18.0</v>
      </c>
      <c r="H46" s="1" t="str">
        <f t="shared" si="2"/>
        <v>E023</v>
      </c>
      <c r="I46" s="1" t="s">
        <v>42</v>
      </c>
      <c r="J46" s="1">
        <v>23.0</v>
      </c>
      <c r="K46" s="2">
        <v>1000.0</v>
      </c>
      <c r="L46" s="1">
        <v>13202.0</v>
      </c>
      <c r="M46" s="1" t="str">
        <f>VLOOKUP(L46,'Catálogos'!$A$2:$B$492,2,0)</f>
        <v>Aguinaldo o gratificación de fin de año</v>
      </c>
      <c r="N46" s="1">
        <v>1.0</v>
      </c>
      <c r="O46" s="1">
        <v>1.0</v>
      </c>
      <c r="P46" s="1">
        <v>9.0</v>
      </c>
      <c r="Q46" s="1">
        <v>0.0</v>
      </c>
      <c r="R46" s="1">
        <v>2.2350668E7</v>
      </c>
      <c r="S46" s="1">
        <v>2.9629732E7</v>
      </c>
      <c r="T46" s="1">
        <v>2.9629732E7</v>
      </c>
      <c r="U46" s="1">
        <v>2.9629732E7</v>
      </c>
      <c r="V46" s="1">
        <v>2.9629732E7</v>
      </c>
    </row>
    <row r="47" ht="15.75" customHeight="1">
      <c r="A47" s="1">
        <v>12.0</v>
      </c>
      <c r="B47" s="1" t="s">
        <v>22</v>
      </c>
      <c r="C47" s="1">
        <v>2.0</v>
      </c>
      <c r="D47" s="1">
        <v>3.0</v>
      </c>
      <c r="E47" s="1">
        <v>2.0</v>
      </c>
      <c r="F47" s="1">
        <v>0.0</v>
      </c>
      <c r="G47" s="1">
        <v>18.0</v>
      </c>
      <c r="H47" s="1" t="str">
        <f t="shared" si="2"/>
        <v>E023</v>
      </c>
      <c r="I47" s="1" t="s">
        <v>42</v>
      </c>
      <c r="J47" s="1">
        <v>23.0</v>
      </c>
      <c r="K47" s="2">
        <v>1000.0</v>
      </c>
      <c r="L47" s="1">
        <v>13301.0</v>
      </c>
      <c r="M47" s="1" t="str">
        <f>VLOOKUP(L47,'Catálogos'!$A$2:$B$492,2,0)</f>
        <v>Remuneraciones por horas extraordinarias</v>
      </c>
      <c r="N47" s="1">
        <v>1.0</v>
      </c>
      <c r="O47" s="1">
        <v>1.0</v>
      </c>
      <c r="P47" s="1">
        <v>9.0</v>
      </c>
      <c r="Q47" s="1">
        <v>0.0</v>
      </c>
      <c r="R47" s="1">
        <v>860050.0</v>
      </c>
      <c r="S47" s="1">
        <v>590820.0</v>
      </c>
      <c r="T47" s="1">
        <v>590820.0</v>
      </c>
      <c r="U47" s="1">
        <v>590820.0</v>
      </c>
      <c r="V47" s="1">
        <v>590820.0</v>
      </c>
    </row>
    <row r="48" ht="15.75" customHeight="1">
      <c r="A48" s="1">
        <v>12.0</v>
      </c>
      <c r="B48" s="1" t="s">
        <v>22</v>
      </c>
      <c r="C48" s="1">
        <v>2.0</v>
      </c>
      <c r="D48" s="1">
        <v>3.0</v>
      </c>
      <c r="E48" s="1">
        <v>2.0</v>
      </c>
      <c r="F48" s="1">
        <v>0.0</v>
      </c>
      <c r="G48" s="1">
        <v>18.0</v>
      </c>
      <c r="H48" s="1" t="str">
        <f t="shared" si="2"/>
        <v>E023</v>
      </c>
      <c r="I48" s="1" t="s">
        <v>42</v>
      </c>
      <c r="J48" s="1">
        <v>23.0</v>
      </c>
      <c r="K48" s="2">
        <v>1000.0</v>
      </c>
      <c r="L48" s="1">
        <v>13404.0</v>
      </c>
      <c r="M48" s="1" t="str">
        <f>VLOOKUP(L48,'Catálogos'!$A$2:$B$492,2,0)</f>
        <v>Compensaciones por servicios eventuales</v>
      </c>
      <c r="N48" s="1">
        <v>1.0</v>
      </c>
      <c r="O48" s="1">
        <v>1.0</v>
      </c>
      <c r="P48" s="1">
        <v>9.0</v>
      </c>
      <c r="Q48" s="1">
        <v>0.0</v>
      </c>
      <c r="R48" s="1">
        <v>2231429.0</v>
      </c>
      <c r="S48" s="1">
        <v>3678944.0</v>
      </c>
      <c r="T48" s="1">
        <v>3678944.0</v>
      </c>
      <c r="U48" s="1">
        <v>3678944.0</v>
      </c>
      <c r="V48" s="1">
        <v>3678944.0</v>
      </c>
    </row>
    <row r="49" ht="15.75" customHeight="1">
      <c r="A49" s="1">
        <v>12.0</v>
      </c>
      <c r="B49" s="1" t="s">
        <v>22</v>
      </c>
      <c r="C49" s="1">
        <v>2.0</v>
      </c>
      <c r="D49" s="1">
        <v>3.0</v>
      </c>
      <c r="E49" s="1">
        <v>2.0</v>
      </c>
      <c r="F49" s="1">
        <v>0.0</v>
      </c>
      <c r="G49" s="1">
        <v>18.0</v>
      </c>
      <c r="H49" s="1" t="str">
        <f t="shared" si="2"/>
        <v>E023</v>
      </c>
      <c r="I49" s="1" t="s">
        <v>42</v>
      </c>
      <c r="J49" s="1">
        <v>23.0</v>
      </c>
      <c r="K49" s="2">
        <v>1000.0</v>
      </c>
      <c r="L49" s="1">
        <v>13407.0</v>
      </c>
      <c r="M49" s="1" t="str">
        <f>VLOOKUP(L49,'Catálogos'!$A$2:$B$492,2,0)</f>
        <v>Compensaciones adicionales por servicios especiales</v>
      </c>
      <c r="N49" s="1">
        <v>1.0</v>
      </c>
      <c r="O49" s="1">
        <v>1.0</v>
      </c>
      <c r="P49" s="1">
        <v>9.0</v>
      </c>
      <c r="Q49" s="1">
        <v>0.0</v>
      </c>
      <c r="R49" s="1">
        <v>1.7983755E7</v>
      </c>
      <c r="S49" s="1">
        <v>2.1537902E7</v>
      </c>
      <c r="T49" s="1">
        <v>2.1537902E7</v>
      </c>
      <c r="U49" s="1">
        <v>2.1537902E7</v>
      </c>
      <c r="V49" s="1">
        <v>2.1537902E7</v>
      </c>
    </row>
    <row r="50" ht="15.75" customHeight="1">
      <c r="A50" s="1">
        <v>12.0</v>
      </c>
      <c r="B50" s="1" t="s">
        <v>22</v>
      </c>
      <c r="C50" s="1">
        <v>2.0</v>
      </c>
      <c r="D50" s="1">
        <v>3.0</v>
      </c>
      <c r="E50" s="1">
        <v>2.0</v>
      </c>
      <c r="F50" s="1">
        <v>0.0</v>
      </c>
      <c r="G50" s="1">
        <v>18.0</v>
      </c>
      <c r="H50" s="1" t="str">
        <f t="shared" si="2"/>
        <v>E023</v>
      </c>
      <c r="I50" s="1" t="s">
        <v>42</v>
      </c>
      <c r="J50" s="1">
        <v>23.0</v>
      </c>
      <c r="K50" s="2">
        <v>1000.0</v>
      </c>
      <c r="L50" s="1">
        <v>13410.0</v>
      </c>
      <c r="M50" s="1" t="str">
        <f>VLOOKUP(L50,'Catálogos'!$A$2:$B$492,2,0)</f>
        <v>Compensación por actualización y formación académica</v>
      </c>
      <c r="N50" s="1">
        <v>1.0</v>
      </c>
      <c r="O50" s="1">
        <v>1.0</v>
      </c>
      <c r="P50" s="1">
        <v>9.0</v>
      </c>
      <c r="Q50" s="1">
        <v>0.0</v>
      </c>
      <c r="R50" s="1">
        <v>6.7856808E7</v>
      </c>
      <c r="S50" s="1">
        <v>8.0683726E7</v>
      </c>
      <c r="T50" s="1">
        <v>8.0683726E7</v>
      </c>
      <c r="U50" s="1">
        <v>8.0683726E7</v>
      </c>
      <c r="V50" s="1">
        <v>8.0683726E7</v>
      </c>
    </row>
    <row r="51" ht="15.75" customHeight="1">
      <c r="A51" s="1">
        <v>12.0</v>
      </c>
      <c r="B51" s="1" t="s">
        <v>22</v>
      </c>
      <c r="C51" s="1">
        <v>2.0</v>
      </c>
      <c r="D51" s="1">
        <v>3.0</v>
      </c>
      <c r="E51" s="1">
        <v>2.0</v>
      </c>
      <c r="F51" s="1">
        <v>0.0</v>
      </c>
      <c r="G51" s="1">
        <v>18.0</v>
      </c>
      <c r="H51" s="1" t="str">
        <f t="shared" si="2"/>
        <v>E023</v>
      </c>
      <c r="I51" s="1" t="s">
        <v>42</v>
      </c>
      <c r="J51" s="1">
        <v>23.0</v>
      </c>
      <c r="K51" s="2">
        <v>1000.0</v>
      </c>
      <c r="L51" s="1">
        <v>14101.0</v>
      </c>
      <c r="M51" s="1" t="str">
        <f>VLOOKUP(L51,'Catálogos'!$A$2:$B$492,2,0)</f>
        <v>Aportaciones al ISSSTE</v>
      </c>
      <c r="N51" s="1">
        <v>1.0</v>
      </c>
      <c r="O51" s="1">
        <v>1.0</v>
      </c>
      <c r="P51" s="1">
        <v>9.0</v>
      </c>
      <c r="Q51" s="1">
        <v>0.0</v>
      </c>
      <c r="R51" s="1">
        <v>2.935229E7</v>
      </c>
      <c r="S51" s="1">
        <v>2.4924648E7</v>
      </c>
      <c r="T51" s="1">
        <v>2.4924648E7</v>
      </c>
      <c r="U51" s="1">
        <v>2.4924648E7</v>
      </c>
      <c r="V51" s="1">
        <v>2.4924648E7</v>
      </c>
    </row>
    <row r="52" ht="15.75" customHeight="1">
      <c r="A52" s="1">
        <v>12.0</v>
      </c>
      <c r="B52" s="1" t="s">
        <v>22</v>
      </c>
      <c r="C52" s="1">
        <v>2.0</v>
      </c>
      <c r="D52" s="1">
        <v>3.0</v>
      </c>
      <c r="E52" s="1">
        <v>2.0</v>
      </c>
      <c r="F52" s="1">
        <v>0.0</v>
      </c>
      <c r="G52" s="1">
        <v>18.0</v>
      </c>
      <c r="H52" s="1" t="str">
        <f t="shared" si="2"/>
        <v>E023</v>
      </c>
      <c r="I52" s="1" t="s">
        <v>42</v>
      </c>
      <c r="J52" s="1">
        <v>23.0</v>
      </c>
      <c r="K52" s="2">
        <v>1000.0</v>
      </c>
      <c r="L52" s="1">
        <v>14105.0</v>
      </c>
      <c r="M52" s="1" t="str">
        <f>VLOOKUP(L52,'Catálogos'!$A$2:$B$492,2,0)</f>
        <v>Aportaciones al seguro de cesantía en edad avanzada y vejez</v>
      </c>
      <c r="N52" s="1">
        <v>1.0</v>
      </c>
      <c r="O52" s="1">
        <v>1.0</v>
      </c>
      <c r="P52" s="1">
        <v>9.0</v>
      </c>
      <c r="Q52" s="1">
        <v>0.0</v>
      </c>
      <c r="R52" s="1">
        <v>9864416.0</v>
      </c>
      <c r="S52" s="1">
        <v>8588088.0</v>
      </c>
      <c r="T52" s="1">
        <v>8588088.0</v>
      </c>
      <c r="U52" s="1">
        <v>8588088.0</v>
      </c>
      <c r="V52" s="1">
        <v>8588088.0</v>
      </c>
    </row>
    <row r="53" ht="15.75" customHeight="1">
      <c r="A53" s="1">
        <v>12.0</v>
      </c>
      <c r="B53" s="1" t="s">
        <v>22</v>
      </c>
      <c r="C53" s="1">
        <v>2.0</v>
      </c>
      <c r="D53" s="1">
        <v>3.0</v>
      </c>
      <c r="E53" s="1">
        <v>2.0</v>
      </c>
      <c r="F53" s="1">
        <v>0.0</v>
      </c>
      <c r="G53" s="1">
        <v>18.0</v>
      </c>
      <c r="H53" s="1" t="str">
        <f t="shared" si="2"/>
        <v>E023</v>
      </c>
      <c r="I53" s="1" t="s">
        <v>42</v>
      </c>
      <c r="J53" s="1">
        <v>23.0</v>
      </c>
      <c r="K53" s="2">
        <v>1000.0</v>
      </c>
      <c r="L53" s="1">
        <v>14201.0</v>
      </c>
      <c r="M53" s="1" t="str">
        <f>VLOOKUP(L53,'Catálogos'!$A$2:$B$492,2,0)</f>
        <v>Aportaciones al FOVISSSTE</v>
      </c>
      <c r="N53" s="1">
        <v>1.0</v>
      </c>
      <c r="O53" s="1">
        <v>1.0</v>
      </c>
      <c r="P53" s="1">
        <v>9.0</v>
      </c>
      <c r="Q53" s="1">
        <v>0.0</v>
      </c>
      <c r="R53" s="1">
        <v>9658008.0</v>
      </c>
      <c r="S53" s="1">
        <v>1.1040989E7</v>
      </c>
      <c r="T53" s="1">
        <v>1.1040989E7</v>
      </c>
      <c r="U53" s="1">
        <v>1.1040989E7</v>
      </c>
      <c r="V53" s="1">
        <v>1.1040989E7</v>
      </c>
    </row>
    <row r="54" ht="15.75" customHeight="1">
      <c r="A54" s="1">
        <v>12.0</v>
      </c>
      <c r="B54" s="1" t="s">
        <v>22</v>
      </c>
      <c r="C54" s="1">
        <v>2.0</v>
      </c>
      <c r="D54" s="1">
        <v>3.0</v>
      </c>
      <c r="E54" s="1">
        <v>2.0</v>
      </c>
      <c r="F54" s="1">
        <v>0.0</v>
      </c>
      <c r="G54" s="1">
        <v>18.0</v>
      </c>
      <c r="H54" s="1" t="str">
        <f t="shared" si="2"/>
        <v>E023</v>
      </c>
      <c r="I54" s="1" t="s">
        <v>42</v>
      </c>
      <c r="J54" s="1">
        <v>23.0</v>
      </c>
      <c r="K54" s="2">
        <v>1000.0</v>
      </c>
      <c r="L54" s="1">
        <v>14301.0</v>
      </c>
      <c r="M54" s="1" t="str">
        <f>VLOOKUP(L54,'Catálogos'!$A$2:$B$492,2,0)</f>
        <v>Aportaciones al Sistema de Ahorro para el Retiro</v>
      </c>
      <c r="N54" s="1">
        <v>1.0</v>
      </c>
      <c r="O54" s="1">
        <v>1.0</v>
      </c>
      <c r="P54" s="1">
        <v>9.0</v>
      </c>
      <c r="Q54" s="1">
        <v>0.0</v>
      </c>
      <c r="R54" s="1">
        <v>3863203.0</v>
      </c>
      <c r="S54" s="1">
        <v>5162743.0</v>
      </c>
      <c r="T54" s="1">
        <v>5162743.0</v>
      </c>
      <c r="U54" s="1">
        <v>5162743.0</v>
      </c>
      <c r="V54" s="1">
        <v>5162743.0</v>
      </c>
    </row>
    <row r="55" ht="15.75" customHeight="1">
      <c r="A55" s="1">
        <v>12.0</v>
      </c>
      <c r="B55" s="1" t="s">
        <v>22</v>
      </c>
      <c r="C55" s="1">
        <v>2.0</v>
      </c>
      <c r="D55" s="1">
        <v>3.0</v>
      </c>
      <c r="E55" s="1">
        <v>2.0</v>
      </c>
      <c r="F55" s="1">
        <v>0.0</v>
      </c>
      <c r="G55" s="1">
        <v>18.0</v>
      </c>
      <c r="H55" s="1" t="str">
        <f t="shared" si="2"/>
        <v>E023</v>
      </c>
      <c r="I55" s="1" t="s">
        <v>42</v>
      </c>
      <c r="J55" s="1">
        <v>23.0</v>
      </c>
      <c r="K55" s="2">
        <v>1000.0</v>
      </c>
      <c r="L55" s="1">
        <v>14302.0</v>
      </c>
      <c r="M55" s="1" t="str">
        <f>VLOOKUP(L55,'Catálogos'!$A$2:$B$492,2,0)</f>
        <v>Depósitos para el ahorro solidario</v>
      </c>
      <c r="N55" s="1">
        <v>1.0</v>
      </c>
      <c r="O55" s="1">
        <v>1.0</v>
      </c>
      <c r="P55" s="1">
        <v>9.0</v>
      </c>
      <c r="Q55" s="1">
        <v>0.0</v>
      </c>
      <c r="R55" s="1">
        <v>2725309.0</v>
      </c>
      <c r="S55" s="1">
        <v>3977334.0</v>
      </c>
      <c r="T55" s="1">
        <v>3977334.0</v>
      </c>
      <c r="U55" s="1">
        <v>3977334.0</v>
      </c>
      <c r="V55" s="1">
        <v>3977334.0</v>
      </c>
    </row>
    <row r="56" ht="15.75" customHeight="1">
      <c r="A56" s="1">
        <v>12.0</v>
      </c>
      <c r="B56" s="1" t="s">
        <v>22</v>
      </c>
      <c r="C56" s="1">
        <v>2.0</v>
      </c>
      <c r="D56" s="1">
        <v>3.0</v>
      </c>
      <c r="E56" s="1">
        <v>2.0</v>
      </c>
      <c r="F56" s="1">
        <v>0.0</v>
      </c>
      <c r="G56" s="1">
        <v>18.0</v>
      </c>
      <c r="H56" s="1" t="str">
        <f t="shared" si="2"/>
        <v>E023</v>
      </c>
      <c r="I56" s="1" t="s">
        <v>42</v>
      </c>
      <c r="J56" s="1">
        <v>23.0</v>
      </c>
      <c r="K56" s="2">
        <v>1000.0</v>
      </c>
      <c r="L56" s="1">
        <v>14401.0</v>
      </c>
      <c r="M56" s="1" t="str">
        <f>VLOOKUP(L56,'Catálogos'!$A$2:$B$492,2,0)</f>
        <v>Cuotas para el seguro de vida del personal civil</v>
      </c>
      <c r="N56" s="1">
        <v>1.0</v>
      </c>
      <c r="O56" s="1">
        <v>1.0</v>
      </c>
      <c r="P56" s="1">
        <v>9.0</v>
      </c>
      <c r="Q56" s="1">
        <v>0.0</v>
      </c>
      <c r="R56" s="1">
        <v>2746508.0</v>
      </c>
      <c r="S56" s="1">
        <v>3008311.0</v>
      </c>
      <c r="T56" s="1">
        <v>3008311.0</v>
      </c>
      <c r="U56" s="1">
        <v>3008311.0</v>
      </c>
      <c r="V56" s="1">
        <v>3008311.0</v>
      </c>
    </row>
    <row r="57" ht="15.75" customHeight="1">
      <c r="A57" s="1">
        <v>12.0</v>
      </c>
      <c r="B57" s="1" t="s">
        <v>22</v>
      </c>
      <c r="C57" s="1">
        <v>2.0</v>
      </c>
      <c r="D57" s="1">
        <v>3.0</v>
      </c>
      <c r="E57" s="1">
        <v>2.0</v>
      </c>
      <c r="F57" s="1">
        <v>0.0</v>
      </c>
      <c r="G57" s="1">
        <v>18.0</v>
      </c>
      <c r="H57" s="1" t="str">
        <f t="shared" si="2"/>
        <v>E023</v>
      </c>
      <c r="I57" s="1" t="s">
        <v>42</v>
      </c>
      <c r="J57" s="1">
        <v>23.0</v>
      </c>
      <c r="K57" s="2">
        <v>1000.0</v>
      </c>
      <c r="L57" s="1">
        <v>14405.0</v>
      </c>
      <c r="M57" s="1" t="str">
        <f>VLOOKUP(L57,'Catálogos'!$A$2:$B$492,2,0)</f>
        <v>Cuotas para el seguro colectivo de retiro</v>
      </c>
      <c r="N57" s="1">
        <v>1.0</v>
      </c>
      <c r="O57" s="1">
        <v>1.0</v>
      </c>
      <c r="P57" s="1">
        <v>9.0</v>
      </c>
      <c r="Q57" s="1">
        <v>0.0</v>
      </c>
      <c r="R57" s="1">
        <v>142351.0</v>
      </c>
      <c r="S57" s="1">
        <v>165536.0</v>
      </c>
      <c r="T57" s="1">
        <v>165536.0</v>
      </c>
      <c r="U57" s="1">
        <v>165536.0</v>
      </c>
      <c r="V57" s="1">
        <v>165536.0</v>
      </c>
    </row>
    <row r="58" ht="15.75" customHeight="1">
      <c r="A58" s="1">
        <v>12.0</v>
      </c>
      <c r="B58" s="1" t="s">
        <v>22</v>
      </c>
      <c r="C58" s="1">
        <v>2.0</v>
      </c>
      <c r="D58" s="1">
        <v>3.0</v>
      </c>
      <c r="E58" s="1">
        <v>2.0</v>
      </c>
      <c r="F58" s="1">
        <v>0.0</v>
      </c>
      <c r="G58" s="1">
        <v>18.0</v>
      </c>
      <c r="H58" s="1" t="str">
        <f t="shared" si="2"/>
        <v>E023</v>
      </c>
      <c r="I58" s="1" t="s">
        <v>42</v>
      </c>
      <c r="J58" s="1">
        <v>23.0</v>
      </c>
      <c r="K58" s="2">
        <v>1000.0</v>
      </c>
      <c r="L58" s="1">
        <v>14406.0</v>
      </c>
      <c r="M58" s="1" t="str">
        <f>VLOOKUP(L58,'Catálogos'!$A$2:$B$492,2,0)</f>
        <v>Seguro de responsabilidad civil, asistencia legal y otros seguros</v>
      </c>
      <c r="N58" s="1">
        <v>1.0</v>
      </c>
      <c r="O58" s="1">
        <v>1.0</v>
      </c>
      <c r="P58" s="1">
        <v>9.0</v>
      </c>
      <c r="Q58" s="1">
        <v>0.0</v>
      </c>
      <c r="R58" s="1">
        <v>93788.0</v>
      </c>
      <c r="S58" s="1">
        <v>177364.0</v>
      </c>
      <c r="T58" s="1">
        <v>177364.0</v>
      </c>
      <c r="U58" s="1">
        <v>177364.0</v>
      </c>
      <c r="V58" s="1">
        <v>177364.0</v>
      </c>
    </row>
    <row r="59" ht="15.75" customHeight="1">
      <c r="A59" s="1">
        <v>12.0</v>
      </c>
      <c r="B59" s="1" t="s">
        <v>22</v>
      </c>
      <c r="C59" s="1">
        <v>2.0</v>
      </c>
      <c r="D59" s="1">
        <v>3.0</v>
      </c>
      <c r="E59" s="1">
        <v>2.0</v>
      </c>
      <c r="F59" s="1">
        <v>0.0</v>
      </c>
      <c r="G59" s="1">
        <v>18.0</v>
      </c>
      <c r="H59" s="1" t="str">
        <f t="shared" si="2"/>
        <v>E023</v>
      </c>
      <c r="I59" s="1" t="s">
        <v>42</v>
      </c>
      <c r="J59" s="1">
        <v>23.0</v>
      </c>
      <c r="K59" s="2">
        <v>1000.0</v>
      </c>
      <c r="L59" s="1">
        <v>15401.0</v>
      </c>
      <c r="M59" s="1" t="str">
        <f>VLOOKUP(L59,'Catálogos'!$A$2:$B$492,2,0)</f>
        <v>Prestaciones establecidas por condiciones generales de trabajo o contratos colectivos de trabajo</v>
      </c>
      <c r="N59" s="1">
        <v>1.0</v>
      </c>
      <c r="O59" s="1">
        <v>1.0</v>
      </c>
      <c r="P59" s="1">
        <v>9.0</v>
      </c>
      <c r="Q59" s="1">
        <v>0.0</v>
      </c>
      <c r="R59" s="1">
        <v>6630253.0</v>
      </c>
      <c r="S59" s="1">
        <v>7345482.0</v>
      </c>
      <c r="T59" s="1">
        <v>7345482.0</v>
      </c>
      <c r="U59" s="1">
        <v>7345482.0</v>
      </c>
      <c r="V59" s="1">
        <v>7345482.0</v>
      </c>
    </row>
    <row r="60" ht="15.75" customHeight="1">
      <c r="A60" s="1">
        <v>12.0</v>
      </c>
      <c r="B60" s="1" t="s">
        <v>22</v>
      </c>
      <c r="C60" s="1">
        <v>2.0</v>
      </c>
      <c r="D60" s="1">
        <v>3.0</v>
      </c>
      <c r="E60" s="1">
        <v>2.0</v>
      </c>
      <c r="F60" s="1">
        <v>0.0</v>
      </c>
      <c r="G60" s="1">
        <v>18.0</v>
      </c>
      <c r="H60" s="1" t="str">
        <f t="shared" si="2"/>
        <v>E023</v>
      </c>
      <c r="I60" s="1" t="s">
        <v>42</v>
      </c>
      <c r="J60" s="1">
        <v>23.0</v>
      </c>
      <c r="K60" s="2">
        <v>1000.0</v>
      </c>
      <c r="L60" s="1">
        <v>15402.0</v>
      </c>
      <c r="M60" s="1" t="str">
        <f>VLOOKUP(L60,'Catálogos'!$A$2:$B$492,2,0)</f>
        <v>Compensación garantizada</v>
      </c>
      <c r="N60" s="1">
        <v>1.0</v>
      </c>
      <c r="O60" s="1">
        <v>1.0</v>
      </c>
      <c r="P60" s="1">
        <v>9.0</v>
      </c>
      <c r="Q60" s="1">
        <v>0.0</v>
      </c>
      <c r="R60" s="1">
        <v>8007964.0</v>
      </c>
      <c r="S60" s="1">
        <v>8556972.0</v>
      </c>
      <c r="T60" s="1">
        <v>8556972.0</v>
      </c>
      <c r="U60" s="1">
        <v>8556972.0</v>
      </c>
      <c r="V60" s="1">
        <v>8556972.0</v>
      </c>
    </row>
    <row r="61" ht="15.75" customHeight="1">
      <c r="A61" s="1">
        <v>12.0</v>
      </c>
      <c r="B61" s="1" t="s">
        <v>22</v>
      </c>
      <c r="C61" s="1">
        <v>2.0</v>
      </c>
      <c r="D61" s="1">
        <v>3.0</v>
      </c>
      <c r="E61" s="1">
        <v>2.0</v>
      </c>
      <c r="F61" s="1">
        <v>0.0</v>
      </c>
      <c r="G61" s="1">
        <v>18.0</v>
      </c>
      <c r="H61" s="1" t="str">
        <f t="shared" si="2"/>
        <v>E023</v>
      </c>
      <c r="I61" s="1" t="s">
        <v>42</v>
      </c>
      <c r="J61" s="1">
        <v>23.0</v>
      </c>
      <c r="K61" s="2">
        <v>1000.0</v>
      </c>
      <c r="L61" s="1">
        <v>15403.0</v>
      </c>
      <c r="M61" s="1" t="str">
        <f>VLOOKUP(L61,'Catálogos'!$A$2:$B$492,2,0)</f>
        <v>Asignaciones adicionales al sueldo</v>
      </c>
      <c r="N61" s="1">
        <v>1.0</v>
      </c>
      <c r="O61" s="1">
        <v>1.0</v>
      </c>
      <c r="P61" s="1">
        <v>9.0</v>
      </c>
      <c r="Q61" s="1">
        <v>0.0</v>
      </c>
      <c r="R61" s="1">
        <v>3.5839789E7</v>
      </c>
      <c r="S61" s="1">
        <v>4.1242819E7</v>
      </c>
      <c r="T61" s="1">
        <v>4.1242819E7</v>
      </c>
      <c r="U61" s="1">
        <v>4.1242819E7</v>
      </c>
      <c r="V61" s="1">
        <v>4.1242819E7</v>
      </c>
    </row>
    <row r="62" ht="15.75" customHeight="1">
      <c r="A62" s="1">
        <v>12.0</v>
      </c>
      <c r="B62" s="1" t="s">
        <v>22</v>
      </c>
      <c r="C62" s="1">
        <v>2.0</v>
      </c>
      <c r="D62" s="1">
        <v>3.0</v>
      </c>
      <c r="E62" s="1">
        <v>2.0</v>
      </c>
      <c r="F62" s="1">
        <v>0.0</v>
      </c>
      <c r="G62" s="1">
        <v>18.0</v>
      </c>
      <c r="H62" s="1" t="str">
        <f t="shared" si="2"/>
        <v>E023</v>
      </c>
      <c r="I62" s="1" t="s">
        <v>42</v>
      </c>
      <c r="J62" s="1">
        <v>23.0</v>
      </c>
      <c r="K62" s="2">
        <v>1000.0</v>
      </c>
      <c r="L62" s="1">
        <v>15901.0</v>
      </c>
      <c r="M62" s="1" t="str">
        <f>VLOOKUP(L62,'Catálogos'!$A$2:$B$492,2,0)</f>
        <v>Otras prestaciones</v>
      </c>
      <c r="N62" s="1">
        <v>1.0</v>
      </c>
      <c r="O62" s="1">
        <v>1.0</v>
      </c>
      <c r="P62" s="1">
        <v>9.0</v>
      </c>
      <c r="Q62" s="1">
        <v>0.0</v>
      </c>
      <c r="R62" s="1">
        <v>1.05388992E8</v>
      </c>
      <c r="S62" s="1">
        <v>1.22779886E8</v>
      </c>
      <c r="T62" s="1">
        <v>1.22779886E8</v>
      </c>
      <c r="U62" s="1">
        <v>1.22779886E8</v>
      </c>
      <c r="V62" s="1">
        <v>1.22779886E8</v>
      </c>
    </row>
    <row r="63" ht="15.75" customHeight="1">
      <c r="A63" s="1">
        <v>12.0</v>
      </c>
      <c r="B63" s="1" t="s">
        <v>22</v>
      </c>
      <c r="C63" s="1">
        <v>2.0</v>
      </c>
      <c r="D63" s="1">
        <v>3.0</v>
      </c>
      <c r="E63" s="1">
        <v>2.0</v>
      </c>
      <c r="F63" s="1">
        <v>0.0</v>
      </c>
      <c r="G63" s="1">
        <v>18.0</v>
      </c>
      <c r="H63" s="1" t="str">
        <f t="shared" si="2"/>
        <v>E023</v>
      </c>
      <c r="I63" s="1" t="s">
        <v>42</v>
      </c>
      <c r="J63" s="1">
        <v>23.0</v>
      </c>
      <c r="K63" s="2">
        <v>1000.0</v>
      </c>
      <c r="L63" s="1">
        <v>17102.0</v>
      </c>
      <c r="M63" s="1" t="str">
        <f>VLOOKUP(L63,'Catálogos'!$A$2:$B$492,2,0)</f>
        <v>Estímulos al personal operativo</v>
      </c>
      <c r="N63" s="1">
        <v>1.0</v>
      </c>
      <c r="O63" s="1">
        <v>1.0</v>
      </c>
      <c r="P63" s="1">
        <v>9.0</v>
      </c>
      <c r="Q63" s="1">
        <v>0.0</v>
      </c>
      <c r="R63" s="1">
        <v>1.5983147E7</v>
      </c>
      <c r="S63" s="1">
        <v>2.7964246E7</v>
      </c>
      <c r="T63" s="1">
        <v>2.7964246E7</v>
      </c>
      <c r="U63" s="1">
        <v>2.7964246E7</v>
      </c>
      <c r="V63" s="1">
        <v>2.7964246E7</v>
      </c>
    </row>
    <row r="64" ht="15.75" customHeight="1">
      <c r="A64" s="1">
        <v>12.0</v>
      </c>
      <c r="B64" s="1" t="s">
        <v>22</v>
      </c>
      <c r="C64" s="1">
        <v>2.0</v>
      </c>
      <c r="D64" s="1">
        <v>3.0</v>
      </c>
      <c r="E64" s="1">
        <v>2.0</v>
      </c>
      <c r="F64" s="1">
        <v>0.0</v>
      </c>
      <c r="G64" s="1">
        <v>18.0</v>
      </c>
      <c r="H64" s="1" t="str">
        <f t="shared" si="2"/>
        <v>E023</v>
      </c>
      <c r="I64" s="1" t="s">
        <v>42</v>
      </c>
      <c r="J64" s="1">
        <v>23.0</v>
      </c>
      <c r="K64" s="2">
        <v>2000.0</v>
      </c>
      <c r="L64" s="1">
        <v>21101.0</v>
      </c>
      <c r="M64" s="1" t="str">
        <f>VLOOKUP(L64,'Catálogos'!$A$2:$B$492,2,0)</f>
        <v>Materiales y útiles de oficina</v>
      </c>
      <c r="N64" s="1">
        <v>1.0</v>
      </c>
      <c r="O64" s="1">
        <v>1.0</v>
      </c>
      <c r="P64" s="1">
        <v>9.0</v>
      </c>
      <c r="Q64" s="1">
        <v>0.0</v>
      </c>
      <c r="R64" s="1">
        <v>580569.0</v>
      </c>
      <c r="S64" s="1">
        <v>355766.0</v>
      </c>
      <c r="T64" s="1">
        <v>355766.0</v>
      </c>
      <c r="U64" s="1">
        <v>355766.0</v>
      </c>
      <c r="V64" s="1">
        <v>355766.0</v>
      </c>
    </row>
    <row r="65" ht="15.75" customHeight="1">
      <c r="A65" s="1">
        <v>12.0</v>
      </c>
      <c r="B65" s="1" t="s">
        <v>22</v>
      </c>
      <c r="C65" s="1">
        <v>2.0</v>
      </c>
      <c r="D65" s="1">
        <v>3.0</v>
      </c>
      <c r="E65" s="1">
        <v>2.0</v>
      </c>
      <c r="F65" s="1">
        <v>0.0</v>
      </c>
      <c r="G65" s="1">
        <v>18.0</v>
      </c>
      <c r="H65" s="1" t="str">
        <f t="shared" si="2"/>
        <v>E023</v>
      </c>
      <c r="I65" s="1" t="s">
        <v>42</v>
      </c>
      <c r="J65" s="1">
        <v>23.0</v>
      </c>
      <c r="K65" s="2">
        <v>2000.0</v>
      </c>
      <c r="L65" s="1">
        <v>21101.0</v>
      </c>
      <c r="M65" s="1" t="str">
        <f>VLOOKUP(L65,'Catálogos'!$A$2:$B$492,2,0)</f>
        <v>Materiales y útiles de oficina</v>
      </c>
      <c r="N65" s="1">
        <v>1.0</v>
      </c>
      <c r="O65" s="1">
        <v>4.0</v>
      </c>
      <c r="P65" s="1">
        <v>9.0</v>
      </c>
      <c r="Q65" s="1">
        <v>0.0</v>
      </c>
      <c r="R65" s="1">
        <v>30000.0</v>
      </c>
      <c r="S65" s="1">
        <v>77222.0</v>
      </c>
      <c r="T65" s="1">
        <v>25813.0</v>
      </c>
      <c r="U65" s="1">
        <v>25813.0</v>
      </c>
      <c r="V65" s="1">
        <v>25813.0</v>
      </c>
    </row>
    <row r="66" ht="15.75" customHeight="1">
      <c r="A66" s="1">
        <v>12.0</v>
      </c>
      <c r="B66" s="1" t="s">
        <v>22</v>
      </c>
      <c r="C66" s="1">
        <v>2.0</v>
      </c>
      <c r="D66" s="1">
        <v>3.0</v>
      </c>
      <c r="E66" s="1">
        <v>2.0</v>
      </c>
      <c r="F66" s="1">
        <v>0.0</v>
      </c>
      <c r="G66" s="1">
        <v>18.0</v>
      </c>
      <c r="H66" s="1" t="str">
        <f t="shared" si="2"/>
        <v>E023</v>
      </c>
      <c r="I66" s="1" t="s">
        <v>42</v>
      </c>
      <c r="J66" s="1">
        <v>23.0</v>
      </c>
      <c r="K66" s="2">
        <v>2000.0</v>
      </c>
      <c r="L66" s="1">
        <v>21201.0</v>
      </c>
      <c r="M66" s="1" t="str">
        <f>VLOOKUP(L66,'Catálogos'!$A$2:$B$492,2,0)</f>
        <v>Materiales y útiles de impresión y reproducción</v>
      </c>
      <c r="N66" s="1">
        <v>1.0</v>
      </c>
      <c r="O66" s="1">
        <v>1.0</v>
      </c>
      <c r="P66" s="1">
        <v>9.0</v>
      </c>
      <c r="Q66" s="1">
        <v>0.0</v>
      </c>
      <c r="R66" s="1">
        <v>73539.0</v>
      </c>
      <c r="S66" s="1">
        <v>0.0</v>
      </c>
      <c r="T66" s="1">
        <v>0.0</v>
      </c>
      <c r="U66" s="1">
        <v>0.0</v>
      </c>
      <c r="V66" s="1">
        <v>0.0</v>
      </c>
    </row>
    <row r="67" ht="15.75" customHeight="1">
      <c r="A67" s="1">
        <v>12.0</v>
      </c>
      <c r="B67" s="1" t="s">
        <v>22</v>
      </c>
      <c r="C67" s="1">
        <v>2.0</v>
      </c>
      <c r="D67" s="1">
        <v>3.0</v>
      </c>
      <c r="E67" s="1">
        <v>2.0</v>
      </c>
      <c r="F67" s="1">
        <v>0.0</v>
      </c>
      <c r="G67" s="1">
        <v>18.0</v>
      </c>
      <c r="H67" s="1" t="str">
        <f t="shared" si="2"/>
        <v>E023</v>
      </c>
      <c r="I67" s="1" t="s">
        <v>42</v>
      </c>
      <c r="J67" s="1">
        <v>23.0</v>
      </c>
      <c r="K67" s="2">
        <v>2000.0</v>
      </c>
      <c r="L67" s="1">
        <v>21201.0</v>
      </c>
      <c r="M67" s="1" t="str">
        <f>VLOOKUP(L67,'Catálogos'!$A$2:$B$492,2,0)</f>
        <v>Materiales y útiles de impresión y reproducción</v>
      </c>
      <c r="N67" s="1">
        <v>1.0</v>
      </c>
      <c r="O67" s="1">
        <v>4.0</v>
      </c>
      <c r="P67" s="1">
        <v>9.0</v>
      </c>
      <c r="Q67" s="1">
        <v>0.0</v>
      </c>
      <c r="R67" s="1">
        <v>2496.0</v>
      </c>
      <c r="S67" s="1">
        <v>26102.0</v>
      </c>
      <c r="T67" s="1">
        <v>14946.0</v>
      </c>
      <c r="U67" s="1">
        <v>14946.0</v>
      </c>
      <c r="V67" s="1">
        <v>14946.0</v>
      </c>
    </row>
    <row r="68" ht="15.75" customHeight="1">
      <c r="A68" s="1">
        <v>12.0</v>
      </c>
      <c r="B68" s="1" t="s">
        <v>22</v>
      </c>
      <c r="C68" s="1">
        <v>2.0</v>
      </c>
      <c r="D68" s="1">
        <v>3.0</v>
      </c>
      <c r="E68" s="1">
        <v>2.0</v>
      </c>
      <c r="F68" s="1">
        <v>0.0</v>
      </c>
      <c r="G68" s="1">
        <v>18.0</v>
      </c>
      <c r="H68" s="1" t="str">
        <f t="shared" si="2"/>
        <v>E023</v>
      </c>
      <c r="I68" s="1" t="s">
        <v>42</v>
      </c>
      <c r="J68" s="1">
        <v>23.0</v>
      </c>
      <c r="K68" s="2">
        <v>2000.0</v>
      </c>
      <c r="L68" s="1">
        <v>21501.0</v>
      </c>
      <c r="M68" s="1" t="str">
        <f>VLOOKUP(L68,'Catálogos'!$A$2:$B$492,2,0)</f>
        <v>Material de apoyo informativo</v>
      </c>
      <c r="N68" s="1">
        <v>1.0</v>
      </c>
      <c r="O68" s="1">
        <v>4.0</v>
      </c>
      <c r="P68" s="1">
        <v>9.0</v>
      </c>
      <c r="Q68" s="1">
        <v>0.0</v>
      </c>
      <c r="R68" s="1">
        <v>7072.0</v>
      </c>
      <c r="S68" s="1">
        <v>7072.0</v>
      </c>
      <c r="T68" s="1">
        <v>0.0</v>
      </c>
      <c r="U68" s="1">
        <v>0.0</v>
      </c>
      <c r="V68" s="1">
        <v>0.0</v>
      </c>
    </row>
    <row r="69" ht="15.75" customHeight="1">
      <c r="A69" s="1">
        <v>12.0</v>
      </c>
      <c r="B69" s="1" t="s">
        <v>22</v>
      </c>
      <c r="C69" s="1">
        <v>2.0</v>
      </c>
      <c r="D69" s="1">
        <v>3.0</v>
      </c>
      <c r="E69" s="1">
        <v>2.0</v>
      </c>
      <c r="F69" s="1">
        <v>0.0</v>
      </c>
      <c r="G69" s="1">
        <v>18.0</v>
      </c>
      <c r="H69" s="1" t="str">
        <f t="shared" si="2"/>
        <v>E023</v>
      </c>
      <c r="I69" s="1" t="s">
        <v>42</v>
      </c>
      <c r="J69" s="1">
        <v>23.0</v>
      </c>
      <c r="K69" s="2">
        <v>2000.0</v>
      </c>
      <c r="L69" s="1">
        <v>21601.0</v>
      </c>
      <c r="M69" s="1" t="str">
        <f>VLOOKUP(L69,'Catálogos'!$A$2:$B$492,2,0)</f>
        <v>Material de limpieza</v>
      </c>
      <c r="N69" s="1">
        <v>1.0</v>
      </c>
      <c r="O69" s="1">
        <v>1.0</v>
      </c>
      <c r="P69" s="1">
        <v>9.0</v>
      </c>
      <c r="Q69" s="1">
        <v>0.0</v>
      </c>
      <c r="R69" s="1">
        <v>485852.0</v>
      </c>
      <c r="S69" s="1">
        <v>250164.0</v>
      </c>
      <c r="T69" s="1">
        <v>250164.0</v>
      </c>
      <c r="U69" s="1">
        <v>250164.0</v>
      </c>
      <c r="V69" s="1">
        <v>250164.0</v>
      </c>
    </row>
    <row r="70" ht="15.75" customHeight="1">
      <c r="A70" s="1">
        <v>12.0</v>
      </c>
      <c r="B70" s="1" t="s">
        <v>22</v>
      </c>
      <c r="C70" s="1">
        <v>2.0</v>
      </c>
      <c r="D70" s="1">
        <v>3.0</v>
      </c>
      <c r="E70" s="1">
        <v>2.0</v>
      </c>
      <c r="F70" s="1">
        <v>0.0</v>
      </c>
      <c r="G70" s="1">
        <v>18.0</v>
      </c>
      <c r="H70" s="1" t="str">
        <f t="shared" si="2"/>
        <v>E023</v>
      </c>
      <c r="I70" s="1" t="s">
        <v>42</v>
      </c>
      <c r="J70" s="1">
        <v>23.0</v>
      </c>
      <c r="K70" s="2">
        <v>2000.0</v>
      </c>
      <c r="L70" s="1">
        <v>21601.0</v>
      </c>
      <c r="M70" s="1" t="str">
        <f>VLOOKUP(L70,'Catálogos'!$A$2:$B$492,2,0)</f>
        <v>Material de limpieza</v>
      </c>
      <c r="N70" s="1">
        <v>1.0</v>
      </c>
      <c r="O70" s="1">
        <v>4.0</v>
      </c>
      <c r="P70" s="1">
        <v>9.0</v>
      </c>
      <c r="Q70" s="1">
        <v>0.0</v>
      </c>
      <c r="R70" s="1">
        <v>31731.0</v>
      </c>
      <c r="S70" s="1">
        <v>31549.0</v>
      </c>
      <c r="T70" s="1">
        <v>31541.0</v>
      </c>
      <c r="U70" s="1">
        <v>31541.0</v>
      </c>
      <c r="V70" s="1">
        <v>31541.0</v>
      </c>
    </row>
    <row r="71" ht="15.75" customHeight="1">
      <c r="A71" s="1">
        <v>12.0</v>
      </c>
      <c r="B71" s="1" t="s">
        <v>22</v>
      </c>
      <c r="C71" s="1">
        <v>2.0</v>
      </c>
      <c r="D71" s="1">
        <v>3.0</v>
      </c>
      <c r="E71" s="1">
        <v>2.0</v>
      </c>
      <c r="F71" s="1">
        <v>0.0</v>
      </c>
      <c r="G71" s="1">
        <v>18.0</v>
      </c>
      <c r="H71" s="1" t="str">
        <f t="shared" si="2"/>
        <v>E023</v>
      </c>
      <c r="I71" s="1" t="s">
        <v>42</v>
      </c>
      <c r="J71" s="1">
        <v>23.0</v>
      </c>
      <c r="K71" s="2">
        <v>2000.0</v>
      </c>
      <c r="L71" s="1">
        <v>22104.0</v>
      </c>
      <c r="M71" s="1" t="str">
        <f>VLOOKUP(L71,'Catálogos'!$A$2:$B$492,2,0)</f>
        <v>Productos alimenticios para el personal en las instalaciones de las dependencias y entidades</v>
      </c>
      <c r="N71" s="1">
        <v>1.0</v>
      </c>
      <c r="O71" s="1">
        <v>1.0</v>
      </c>
      <c r="P71" s="1">
        <v>9.0</v>
      </c>
      <c r="Q71" s="1">
        <v>0.0</v>
      </c>
      <c r="R71" s="1">
        <v>24757.0</v>
      </c>
      <c r="S71" s="1">
        <v>0.0</v>
      </c>
      <c r="T71" s="1">
        <v>0.0</v>
      </c>
      <c r="U71" s="1">
        <v>0.0</v>
      </c>
      <c r="V71" s="1">
        <v>0.0</v>
      </c>
    </row>
    <row r="72" ht="15.75" customHeight="1">
      <c r="A72" s="1">
        <v>12.0</v>
      </c>
      <c r="B72" s="1" t="s">
        <v>22</v>
      </c>
      <c r="C72" s="1">
        <v>2.0</v>
      </c>
      <c r="D72" s="1">
        <v>3.0</v>
      </c>
      <c r="E72" s="1">
        <v>2.0</v>
      </c>
      <c r="F72" s="1">
        <v>0.0</v>
      </c>
      <c r="G72" s="1">
        <v>18.0</v>
      </c>
      <c r="H72" s="1" t="str">
        <f t="shared" si="2"/>
        <v>E023</v>
      </c>
      <c r="I72" s="1" t="s">
        <v>42</v>
      </c>
      <c r="J72" s="1">
        <v>23.0</v>
      </c>
      <c r="K72" s="2">
        <v>2000.0</v>
      </c>
      <c r="L72" s="1">
        <v>22104.0</v>
      </c>
      <c r="M72" s="1" t="str">
        <f>VLOOKUP(L72,'Catálogos'!$A$2:$B$492,2,0)</f>
        <v>Productos alimenticios para el personal en las instalaciones de las dependencias y entidades</v>
      </c>
      <c r="N72" s="1">
        <v>1.0</v>
      </c>
      <c r="O72" s="1">
        <v>4.0</v>
      </c>
      <c r="P72" s="1">
        <v>9.0</v>
      </c>
      <c r="Q72" s="1">
        <v>0.0</v>
      </c>
      <c r="R72" s="1">
        <v>50000.0</v>
      </c>
      <c r="S72" s="1">
        <v>436766.0</v>
      </c>
      <c r="T72" s="1">
        <v>411239.0</v>
      </c>
      <c r="U72" s="1">
        <v>411239.0</v>
      </c>
      <c r="V72" s="1">
        <v>411239.0</v>
      </c>
    </row>
    <row r="73" ht="15.75" customHeight="1">
      <c r="A73" s="1">
        <v>12.0</v>
      </c>
      <c r="B73" s="1" t="s">
        <v>22</v>
      </c>
      <c r="C73" s="1">
        <v>2.0</v>
      </c>
      <c r="D73" s="1">
        <v>3.0</v>
      </c>
      <c r="E73" s="1">
        <v>2.0</v>
      </c>
      <c r="F73" s="1">
        <v>0.0</v>
      </c>
      <c r="G73" s="1">
        <v>18.0</v>
      </c>
      <c r="H73" s="1" t="str">
        <f t="shared" si="2"/>
        <v>E023</v>
      </c>
      <c r="I73" s="1" t="s">
        <v>42</v>
      </c>
      <c r="J73" s="1">
        <v>23.0</v>
      </c>
      <c r="K73" s="2">
        <v>2000.0</v>
      </c>
      <c r="L73" s="1">
        <v>22301.0</v>
      </c>
      <c r="M73" s="1" t="str">
        <f>VLOOKUP(L73,'Catálogos'!$A$2:$B$492,2,0)</f>
        <v>Utensilios para el servicio de alimentación</v>
      </c>
      <c r="N73" s="1">
        <v>1.0</v>
      </c>
      <c r="O73" s="1">
        <v>4.0</v>
      </c>
      <c r="P73" s="1">
        <v>9.0</v>
      </c>
      <c r="Q73" s="1">
        <v>0.0</v>
      </c>
      <c r="R73" s="1">
        <v>2000.0</v>
      </c>
      <c r="S73" s="1">
        <v>2000.0</v>
      </c>
      <c r="T73" s="1">
        <v>0.0</v>
      </c>
      <c r="U73" s="1">
        <v>0.0</v>
      </c>
      <c r="V73" s="1">
        <v>0.0</v>
      </c>
    </row>
    <row r="74" ht="15.75" customHeight="1">
      <c r="A74" s="1">
        <v>12.0</v>
      </c>
      <c r="B74" s="1" t="s">
        <v>22</v>
      </c>
      <c r="C74" s="1">
        <v>2.0</v>
      </c>
      <c r="D74" s="1">
        <v>3.0</v>
      </c>
      <c r="E74" s="1">
        <v>2.0</v>
      </c>
      <c r="F74" s="1">
        <v>0.0</v>
      </c>
      <c r="G74" s="1">
        <v>18.0</v>
      </c>
      <c r="H74" s="1" t="str">
        <f t="shared" si="2"/>
        <v>E023</v>
      </c>
      <c r="I74" s="1" t="s">
        <v>42</v>
      </c>
      <c r="J74" s="1">
        <v>23.0</v>
      </c>
      <c r="K74" s="2">
        <v>2000.0</v>
      </c>
      <c r="L74" s="1">
        <v>24201.0</v>
      </c>
      <c r="M74" s="1" t="str">
        <f>VLOOKUP(L74,'Catálogos'!$A$2:$B$492,2,0)</f>
        <v>Cemento y productos de concreto</v>
      </c>
      <c r="N74" s="1">
        <v>1.0</v>
      </c>
      <c r="O74" s="1">
        <v>4.0</v>
      </c>
      <c r="P74" s="1">
        <v>9.0</v>
      </c>
      <c r="Q74" s="1">
        <v>0.0</v>
      </c>
      <c r="R74" s="1">
        <v>20000.0</v>
      </c>
      <c r="S74" s="1">
        <v>17791.0</v>
      </c>
      <c r="T74" s="1">
        <v>0.0</v>
      </c>
      <c r="U74" s="1">
        <v>0.0</v>
      </c>
      <c r="V74" s="1">
        <v>0.0</v>
      </c>
    </row>
    <row r="75" ht="15.75" customHeight="1">
      <c r="A75" s="1">
        <v>12.0</v>
      </c>
      <c r="B75" s="1" t="s">
        <v>22</v>
      </c>
      <c r="C75" s="1">
        <v>2.0</v>
      </c>
      <c r="D75" s="1">
        <v>3.0</v>
      </c>
      <c r="E75" s="1">
        <v>2.0</v>
      </c>
      <c r="F75" s="1">
        <v>0.0</v>
      </c>
      <c r="G75" s="1">
        <v>18.0</v>
      </c>
      <c r="H75" s="1" t="str">
        <f t="shared" si="2"/>
        <v>E023</v>
      </c>
      <c r="I75" s="1" t="s">
        <v>42</v>
      </c>
      <c r="J75" s="1">
        <v>23.0</v>
      </c>
      <c r="K75" s="2">
        <v>2000.0</v>
      </c>
      <c r="L75" s="1">
        <v>24601.0</v>
      </c>
      <c r="M75" s="1" t="str">
        <f>VLOOKUP(L75,'Catálogos'!$A$2:$B$492,2,0)</f>
        <v>Material eléctrico y electrónico</v>
      </c>
      <c r="N75" s="1">
        <v>1.0</v>
      </c>
      <c r="O75" s="1">
        <v>4.0</v>
      </c>
      <c r="P75" s="1">
        <v>9.0</v>
      </c>
      <c r="Q75" s="1">
        <v>0.0</v>
      </c>
      <c r="R75" s="1">
        <v>50000.0</v>
      </c>
      <c r="S75" s="1">
        <v>39353.0</v>
      </c>
      <c r="T75" s="1">
        <v>26034.0</v>
      </c>
      <c r="U75" s="1">
        <v>26034.0</v>
      </c>
      <c r="V75" s="1">
        <v>26034.0</v>
      </c>
    </row>
    <row r="76" ht="15.75" customHeight="1">
      <c r="A76" s="1">
        <v>12.0</v>
      </c>
      <c r="B76" s="1" t="s">
        <v>22</v>
      </c>
      <c r="C76" s="1">
        <v>2.0</v>
      </c>
      <c r="D76" s="1">
        <v>3.0</v>
      </c>
      <c r="E76" s="1">
        <v>2.0</v>
      </c>
      <c r="F76" s="1">
        <v>0.0</v>
      </c>
      <c r="G76" s="1">
        <v>18.0</v>
      </c>
      <c r="H76" s="1" t="str">
        <f t="shared" si="2"/>
        <v>E023</v>
      </c>
      <c r="I76" s="1" t="s">
        <v>42</v>
      </c>
      <c r="J76" s="1">
        <v>23.0</v>
      </c>
      <c r="K76" s="2">
        <v>2000.0</v>
      </c>
      <c r="L76" s="1">
        <v>24701.0</v>
      </c>
      <c r="M76" s="1" t="str">
        <f>VLOOKUP(L76,'Catálogos'!$A$2:$B$492,2,0)</f>
        <v>Artículos metálicos para la construcción</v>
      </c>
      <c r="N76" s="1">
        <v>1.0</v>
      </c>
      <c r="O76" s="1">
        <v>4.0</v>
      </c>
      <c r="P76" s="1">
        <v>9.0</v>
      </c>
      <c r="Q76" s="1">
        <v>0.0</v>
      </c>
      <c r="R76" s="1">
        <v>30000.0</v>
      </c>
      <c r="S76" s="1">
        <v>28392.0</v>
      </c>
      <c r="T76" s="1">
        <v>27889.0</v>
      </c>
      <c r="U76" s="1">
        <v>27889.0</v>
      </c>
      <c r="V76" s="1">
        <v>27889.0</v>
      </c>
    </row>
    <row r="77" ht="15.75" customHeight="1">
      <c r="A77" s="1">
        <v>12.0</v>
      </c>
      <c r="B77" s="1" t="s">
        <v>22</v>
      </c>
      <c r="C77" s="1">
        <v>2.0</v>
      </c>
      <c r="D77" s="1">
        <v>3.0</v>
      </c>
      <c r="E77" s="1">
        <v>2.0</v>
      </c>
      <c r="F77" s="1">
        <v>0.0</v>
      </c>
      <c r="G77" s="1">
        <v>18.0</v>
      </c>
      <c r="H77" s="1" t="str">
        <f t="shared" si="2"/>
        <v>E023</v>
      </c>
      <c r="I77" s="1" t="s">
        <v>42</v>
      </c>
      <c r="J77" s="1">
        <v>23.0</v>
      </c>
      <c r="K77" s="2">
        <v>2000.0</v>
      </c>
      <c r="L77" s="1">
        <v>24801.0</v>
      </c>
      <c r="M77" s="1" t="str">
        <f>VLOOKUP(L77,'Catálogos'!$A$2:$B$492,2,0)</f>
        <v>Materiales complementarios</v>
      </c>
      <c r="N77" s="1">
        <v>1.0</v>
      </c>
      <c r="O77" s="1">
        <v>4.0</v>
      </c>
      <c r="P77" s="1">
        <v>9.0</v>
      </c>
      <c r="Q77" s="1">
        <v>0.0</v>
      </c>
      <c r="R77" s="1">
        <v>20000.0</v>
      </c>
      <c r="S77" s="1">
        <v>15340.0</v>
      </c>
      <c r="T77" s="1">
        <v>15340.0</v>
      </c>
      <c r="U77" s="1">
        <v>15340.0</v>
      </c>
      <c r="V77" s="1">
        <v>15340.0</v>
      </c>
    </row>
    <row r="78" ht="15.75" customHeight="1">
      <c r="A78" s="1">
        <v>12.0</v>
      </c>
      <c r="B78" s="1" t="s">
        <v>22</v>
      </c>
      <c r="C78" s="1">
        <v>2.0</v>
      </c>
      <c r="D78" s="1">
        <v>3.0</v>
      </c>
      <c r="E78" s="1">
        <v>2.0</v>
      </c>
      <c r="F78" s="1">
        <v>0.0</v>
      </c>
      <c r="G78" s="1">
        <v>18.0</v>
      </c>
      <c r="H78" s="1" t="str">
        <f t="shared" si="2"/>
        <v>E023</v>
      </c>
      <c r="I78" s="1" t="s">
        <v>42</v>
      </c>
      <c r="J78" s="1">
        <v>23.0</v>
      </c>
      <c r="K78" s="2">
        <v>2000.0</v>
      </c>
      <c r="L78" s="1">
        <v>24901.0</v>
      </c>
      <c r="M78" s="1" t="str">
        <f>VLOOKUP(L78,'Catálogos'!$A$2:$B$492,2,0)</f>
        <v>Otros materiales y artículos de construcción y reparación</v>
      </c>
      <c r="N78" s="1">
        <v>1.0</v>
      </c>
      <c r="O78" s="1">
        <v>1.0</v>
      </c>
      <c r="P78" s="1">
        <v>9.0</v>
      </c>
      <c r="Q78" s="1">
        <v>0.0</v>
      </c>
      <c r="R78" s="1">
        <v>0.0</v>
      </c>
      <c r="S78" s="1">
        <v>754167.0</v>
      </c>
      <c r="T78" s="1">
        <v>754167.0</v>
      </c>
      <c r="U78" s="1">
        <v>754167.0</v>
      </c>
      <c r="V78" s="1">
        <v>754167.0</v>
      </c>
    </row>
    <row r="79" ht="15.75" customHeight="1">
      <c r="A79" s="1">
        <v>12.0</v>
      </c>
      <c r="B79" s="1" t="s">
        <v>22</v>
      </c>
      <c r="C79" s="1">
        <v>2.0</v>
      </c>
      <c r="D79" s="1">
        <v>3.0</v>
      </c>
      <c r="E79" s="1">
        <v>2.0</v>
      </c>
      <c r="F79" s="1">
        <v>0.0</v>
      </c>
      <c r="G79" s="1">
        <v>18.0</v>
      </c>
      <c r="H79" s="1" t="str">
        <f t="shared" si="2"/>
        <v>E023</v>
      </c>
      <c r="I79" s="1" t="s">
        <v>42</v>
      </c>
      <c r="J79" s="1">
        <v>23.0</v>
      </c>
      <c r="K79" s="2">
        <v>2000.0</v>
      </c>
      <c r="L79" s="1">
        <v>24901.0</v>
      </c>
      <c r="M79" s="1" t="str">
        <f>VLOOKUP(L79,'Catálogos'!$A$2:$B$492,2,0)</f>
        <v>Otros materiales y artículos de construcción y reparación</v>
      </c>
      <c r="N79" s="1">
        <v>1.0</v>
      </c>
      <c r="O79" s="1">
        <v>4.0</v>
      </c>
      <c r="P79" s="1">
        <v>9.0</v>
      </c>
      <c r="Q79" s="1">
        <v>0.0</v>
      </c>
      <c r="R79" s="1">
        <v>25000.0</v>
      </c>
      <c r="S79" s="1">
        <v>15255.0</v>
      </c>
      <c r="T79" s="1">
        <v>15254.0</v>
      </c>
      <c r="U79" s="1">
        <v>15254.0</v>
      </c>
      <c r="V79" s="1">
        <v>15254.0</v>
      </c>
    </row>
    <row r="80" ht="15.75" customHeight="1">
      <c r="A80" s="1">
        <v>12.0</v>
      </c>
      <c r="B80" s="1" t="s">
        <v>22</v>
      </c>
      <c r="C80" s="1">
        <v>2.0</v>
      </c>
      <c r="D80" s="1">
        <v>3.0</v>
      </c>
      <c r="E80" s="1">
        <v>2.0</v>
      </c>
      <c r="F80" s="1">
        <v>0.0</v>
      </c>
      <c r="G80" s="1">
        <v>18.0</v>
      </c>
      <c r="H80" s="1" t="str">
        <f t="shared" si="2"/>
        <v>E023</v>
      </c>
      <c r="I80" s="1" t="s">
        <v>42</v>
      </c>
      <c r="J80" s="1">
        <v>23.0</v>
      </c>
      <c r="K80" s="2">
        <v>2000.0</v>
      </c>
      <c r="L80" s="1">
        <v>25101.0</v>
      </c>
      <c r="M80" s="1" t="str">
        <f>VLOOKUP(L80,'Catálogos'!$A$2:$B$492,2,0)</f>
        <v>Productos químicos básicos</v>
      </c>
      <c r="N80" s="1">
        <v>1.0</v>
      </c>
      <c r="O80" s="1">
        <v>1.0</v>
      </c>
      <c r="P80" s="1">
        <v>9.0</v>
      </c>
      <c r="Q80" s="1">
        <v>0.0</v>
      </c>
      <c r="R80" s="1">
        <v>7455967.0</v>
      </c>
      <c r="S80" s="1">
        <v>1.4011403E7</v>
      </c>
      <c r="T80" s="1">
        <v>1.4011403E7</v>
      </c>
      <c r="U80" s="1">
        <v>1.4011403E7</v>
      </c>
      <c r="V80" s="1">
        <v>1.4011403E7</v>
      </c>
    </row>
    <row r="81" ht="15.75" customHeight="1">
      <c r="A81" s="1">
        <v>12.0</v>
      </c>
      <c r="B81" s="1" t="s">
        <v>22</v>
      </c>
      <c r="C81" s="1">
        <v>2.0</v>
      </c>
      <c r="D81" s="1">
        <v>3.0</v>
      </c>
      <c r="E81" s="1">
        <v>2.0</v>
      </c>
      <c r="F81" s="1">
        <v>0.0</v>
      </c>
      <c r="G81" s="1">
        <v>18.0</v>
      </c>
      <c r="H81" s="1" t="str">
        <f t="shared" si="2"/>
        <v>E023</v>
      </c>
      <c r="I81" s="1" t="s">
        <v>42</v>
      </c>
      <c r="J81" s="1">
        <v>23.0</v>
      </c>
      <c r="K81" s="2">
        <v>2000.0</v>
      </c>
      <c r="L81" s="1">
        <v>25101.0</v>
      </c>
      <c r="M81" s="1" t="str">
        <f>VLOOKUP(L81,'Catálogos'!$A$2:$B$492,2,0)</f>
        <v>Productos químicos básicos</v>
      </c>
      <c r="N81" s="1">
        <v>1.0</v>
      </c>
      <c r="O81" s="1">
        <v>4.0</v>
      </c>
      <c r="P81" s="1">
        <v>9.0</v>
      </c>
      <c r="Q81" s="1">
        <v>0.0</v>
      </c>
      <c r="R81" s="1">
        <v>600000.0</v>
      </c>
      <c r="S81" s="1">
        <v>1219223.0</v>
      </c>
      <c r="T81" s="1">
        <v>1104080.0</v>
      </c>
      <c r="U81" s="1">
        <v>1104080.0</v>
      </c>
      <c r="V81" s="1">
        <v>1104080.0</v>
      </c>
    </row>
    <row r="82" ht="15.75" customHeight="1">
      <c r="A82" s="1">
        <v>12.0</v>
      </c>
      <c r="B82" s="1" t="s">
        <v>22</v>
      </c>
      <c r="C82" s="1">
        <v>2.0</v>
      </c>
      <c r="D82" s="1">
        <v>3.0</v>
      </c>
      <c r="E82" s="1">
        <v>2.0</v>
      </c>
      <c r="F82" s="1">
        <v>0.0</v>
      </c>
      <c r="G82" s="1">
        <v>18.0</v>
      </c>
      <c r="H82" s="1" t="str">
        <f t="shared" si="2"/>
        <v>E023</v>
      </c>
      <c r="I82" s="1" t="s">
        <v>42</v>
      </c>
      <c r="J82" s="1">
        <v>23.0</v>
      </c>
      <c r="K82" s="2">
        <v>2000.0</v>
      </c>
      <c r="L82" s="1">
        <v>25301.0</v>
      </c>
      <c r="M82" s="1" t="str">
        <f>VLOOKUP(L82,'Catálogos'!$A$2:$B$492,2,0)</f>
        <v>Medicinas y productos farmacéuticos</v>
      </c>
      <c r="N82" s="1">
        <v>1.0</v>
      </c>
      <c r="O82" s="1">
        <v>1.0</v>
      </c>
      <c r="P82" s="1">
        <v>9.0</v>
      </c>
      <c r="Q82" s="1">
        <v>0.0</v>
      </c>
      <c r="R82" s="1">
        <v>2.0667522E7</v>
      </c>
      <c r="S82" s="1">
        <v>1.6101367E7</v>
      </c>
      <c r="T82" s="1">
        <v>1.6101367E7</v>
      </c>
      <c r="U82" s="1">
        <v>1.6101367E7</v>
      </c>
      <c r="V82" s="1">
        <v>1.6101367E7</v>
      </c>
    </row>
    <row r="83" ht="15.75" customHeight="1">
      <c r="A83" s="1">
        <v>12.0</v>
      </c>
      <c r="B83" s="1" t="s">
        <v>22</v>
      </c>
      <c r="C83" s="1">
        <v>2.0</v>
      </c>
      <c r="D83" s="1">
        <v>3.0</v>
      </c>
      <c r="E83" s="1">
        <v>2.0</v>
      </c>
      <c r="F83" s="1">
        <v>0.0</v>
      </c>
      <c r="G83" s="1">
        <v>18.0</v>
      </c>
      <c r="H83" s="1" t="str">
        <f t="shared" si="2"/>
        <v>E023</v>
      </c>
      <c r="I83" s="1" t="s">
        <v>42</v>
      </c>
      <c r="J83" s="1">
        <v>23.0</v>
      </c>
      <c r="K83" s="2">
        <v>2000.0</v>
      </c>
      <c r="L83" s="1">
        <v>25301.0</v>
      </c>
      <c r="M83" s="1" t="str">
        <f>VLOOKUP(L83,'Catálogos'!$A$2:$B$492,2,0)</f>
        <v>Medicinas y productos farmacéuticos</v>
      </c>
      <c r="N83" s="1">
        <v>1.0</v>
      </c>
      <c r="O83" s="1">
        <v>4.0</v>
      </c>
      <c r="P83" s="1">
        <v>9.0</v>
      </c>
      <c r="Q83" s="1">
        <v>0.0</v>
      </c>
      <c r="R83" s="1">
        <v>2366503.0</v>
      </c>
      <c r="S83" s="1">
        <v>1318120.0</v>
      </c>
      <c r="T83" s="1">
        <v>440902.0</v>
      </c>
      <c r="U83" s="1">
        <v>440902.0</v>
      </c>
      <c r="V83" s="1">
        <v>440902.0</v>
      </c>
    </row>
    <row r="84" ht="15.75" customHeight="1">
      <c r="A84" s="1">
        <v>12.0</v>
      </c>
      <c r="B84" s="1" t="s">
        <v>22</v>
      </c>
      <c r="C84" s="1">
        <v>2.0</v>
      </c>
      <c r="D84" s="1">
        <v>3.0</v>
      </c>
      <c r="E84" s="1">
        <v>2.0</v>
      </c>
      <c r="F84" s="1">
        <v>0.0</v>
      </c>
      <c r="G84" s="1">
        <v>18.0</v>
      </c>
      <c r="H84" s="1" t="str">
        <f t="shared" si="2"/>
        <v>E023</v>
      </c>
      <c r="I84" s="1" t="s">
        <v>42</v>
      </c>
      <c r="J84" s="1">
        <v>23.0</v>
      </c>
      <c r="K84" s="2">
        <v>2000.0</v>
      </c>
      <c r="L84" s="1">
        <v>25401.0</v>
      </c>
      <c r="M84" s="1" t="str">
        <f>VLOOKUP(L84,'Catálogos'!$A$2:$B$492,2,0)</f>
        <v>Materiales, accesorios y suministros médicos</v>
      </c>
      <c r="N84" s="1">
        <v>1.0</v>
      </c>
      <c r="O84" s="1">
        <v>1.0</v>
      </c>
      <c r="P84" s="1">
        <v>9.0</v>
      </c>
      <c r="Q84" s="1">
        <v>0.0</v>
      </c>
      <c r="R84" s="1">
        <v>7439511.0</v>
      </c>
      <c r="S84" s="1">
        <v>1.1679564E7</v>
      </c>
      <c r="T84" s="1">
        <v>1.1679564E7</v>
      </c>
      <c r="U84" s="1">
        <v>1.1679564E7</v>
      </c>
      <c r="V84" s="1">
        <v>1.1679564E7</v>
      </c>
    </row>
    <row r="85" ht="15.75" customHeight="1">
      <c r="A85" s="1">
        <v>12.0</v>
      </c>
      <c r="B85" s="1" t="s">
        <v>22</v>
      </c>
      <c r="C85" s="1">
        <v>2.0</v>
      </c>
      <c r="D85" s="1">
        <v>3.0</v>
      </c>
      <c r="E85" s="1">
        <v>2.0</v>
      </c>
      <c r="F85" s="1">
        <v>0.0</v>
      </c>
      <c r="G85" s="1">
        <v>18.0</v>
      </c>
      <c r="H85" s="1" t="str">
        <f t="shared" si="2"/>
        <v>E023</v>
      </c>
      <c r="I85" s="1" t="s">
        <v>42</v>
      </c>
      <c r="J85" s="1">
        <v>23.0</v>
      </c>
      <c r="K85" s="2">
        <v>2000.0</v>
      </c>
      <c r="L85" s="1">
        <v>25401.0</v>
      </c>
      <c r="M85" s="1" t="str">
        <f>VLOOKUP(L85,'Catálogos'!$A$2:$B$492,2,0)</f>
        <v>Materiales, accesorios y suministros médicos</v>
      </c>
      <c r="N85" s="1">
        <v>1.0</v>
      </c>
      <c r="O85" s="1">
        <v>4.0</v>
      </c>
      <c r="P85" s="1">
        <v>9.0</v>
      </c>
      <c r="Q85" s="1">
        <v>0.0</v>
      </c>
      <c r="R85" s="1">
        <v>2150000.0</v>
      </c>
      <c r="S85" s="1">
        <v>1955344.0</v>
      </c>
      <c r="T85" s="1">
        <v>1288103.0</v>
      </c>
      <c r="U85" s="1">
        <v>1288103.0</v>
      </c>
      <c r="V85" s="1">
        <v>1288103.0</v>
      </c>
    </row>
    <row r="86" ht="15.75" customHeight="1">
      <c r="A86" s="1">
        <v>12.0</v>
      </c>
      <c r="B86" s="1" t="s">
        <v>22</v>
      </c>
      <c r="C86" s="1">
        <v>2.0</v>
      </c>
      <c r="D86" s="1">
        <v>3.0</v>
      </c>
      <c r="E86" s="1">
        <v>2.0</v>
      </c>
      <c r="F86" s="1">
        <v>0.0</v>
      </c>
      <c r="G86" s="1">
        <v>18.0</v>
      </c>
      <c r="H86" s="1" t="str">
        <f t="shared" si="2"/>
        <v>E023</v>
      </c>
      <c r="I86" s="1" t="s">
        <v>42</v>
      </c>
      <c r="J86" s="1">
        <v>23.0</v>
      </c>
      <c r="K86" s="2">
        <v>2000.0</v>
      </c>
      <c r="L86" s="1">
        <v>25501.0</v>
      </c>
      <c r="M86" s="1" t="str">
        <f>VLOOKUP(L86,'Catálogos'!$A$2:$B$492,2,0)</f>
        <v>Materiales, accesorios y suministros de laboratorio</v>
      </c>
      <c r="N86" s="1">
        <v>1.0</v>
      </c>
      <c r="O86" s="1">
        <v>1.0</v>
      </c>
      <c r="P86" s="1">
        <v>9.0</v>
      </c>
      <c r="Q86" s="1">
        <v>0.0</v>
      </c>
      <c r="R86" s="1">
        <v>1500542.0</v>
      </c>
      <c r="S86" s="1">
        <v>41455.0</v>
      </c>
      <c r="T86" s="1">
        <v>41455.0</v>
      </c>
      <c r="U86" s="1">
        <v>41455.0</v>
      </c>
      <c r="V86" s="1">
        <v>41455.0</v>
      </c>
    </row>
    <row r="87" ht="15.75" customHeight="1">
      <c r="A87" s="1">
        <v>12.0</v>
      </c>
      <c r="B87" s="1" t="s">
        <v>22</v>
      </c>
      <c r="C87" s="1">
        <v>2.0</v>
      </c>
      <c r="D87" s="1">
        <v>3.0</v>
      </c>
      <c r="E87" s="1">
        <v>2.0</v>
      </c>
      <c r="F87" s="1">
        <v>0.0</v>
      </c>
      <c r="G87" s="1">
        <v>18.0</v>
      </c>
      <c r="H87" s="1" t="str">
        <f t="shared" si="2"/>
        <v>E023</v>
      </c>
      <c r="I87" s="1" t="s">
        <v>42</v>
      </c>
      <c r="J87" s="1">
        <v>23.0</v>
      </c>
      <c r="K87" s="2">
        <v>2000.0</v>
      </c>
      <c r="L87" s="1">
        <v>25501.0</v>
      </c>
      <c r="M87" s="1" t="str">
        <f>VLOOKUP(L87,'Catálogos'!$A$2:$B$492,2,0)</f>
        <v>Materiales, accesorios y suministros de laboratorio</v>
      </c>
      <c r="N87" s="1">
        <v>1.0</v>
      </c>
      <c r="O87" s="1">
        <v>4.0</v>
      </c>
      <c r="P87" s="1">
        <v>9.0</v>
      </c>
      <c r="Q87" s="1">
        <v>0.0</v>
      </c>
      <c r="R87" s="1">
        <v>100000.0</v>
      </c>
      <c r="S87" s="1">
        <v>225115.0</v>
      </c>
      <c r="T87" s="1">
        <v>91633.0</v>
      </c>
      <c r="U87" s="1">
        <v>91633.0</v>
      </c>
      <c r="V87" s="1">
        <v>91633.0</v>
      </c>
    </row>
    <row r="88" ht="15.75" customHeight="1">
      <c r="A88" s="1">
        <v>12.0</v>
      </c>
      <c r="B88" s="1" t="s">
        <v>22</v>
      </c>
      <c r="C88" s="1">
        <v>2.0</v>
      </c>
      <c r="D88" s="1">
        <v>3.0</v>
      </c>
      <c r="E88" s="1">
        <v>2.0</v>
      </c>
      <c r="F88" s="1">
        <v>0.0</v>
      </c>
      <c r="G88" s="1">
        <v>18.0</v>
      </c>
      <c r="H88" s="1" t="str">
        <f t="shared" si="2"/>
        <v>E023</v>
      </c>
      <c r="I88" s="1" t="s">
        <v>42</v>
      </c>
      <c r="J88" s="1">
        <v>23.0</v>
      </c>
      <c r="K88" s="2">
        <v>2000.0</v>
      </c>
      <c r="L88" s="1">
        <v>26103.0</v>
      </c>
      <c r="M88" s="1" t="str">
        <f>VLOOKUP(L88,'Catálogos'!$A$2:$B$492,2,0)</f>
        <v>Combustibles, lubricantes y aditivos para vehículos terrestres, aéreos, marítimos, lacustres y fluviales destinados a servicios administrativos</v>
      </c>
      <c r="N88" s="1">
        <v>1.0</v>
      </c>
      <c r="O88" s="1">
        <v>4.0</v>
      </c>
      <c r="P88" s="1">
        <v>9.0</v>
      </c>
      <c r="Q88" s="1">
        <v>0.0</v>
      </c>
      <c r="R88" s="1">
        <v>520000.0</v>
      </c>
      <c r="S88" s="1">
        <v>520000.0</v>
      </c>
      <c r="T88" s="1">
        <v>303002.0</v>
      </c>
      <c r="U88" s="1">
        <v>303002.0</v>
      </c>
      <c r="V88" s="1">
        <v>303002.0</v>
      </c>
    </row>
    <row r="89" ht="15.75" customHeight="1">
      <c r="A89" s="1">
        <v>12.0</v>
      </c>
      <c r="B89" s="1" t="s">
        <v>22</v>
      </c>
      <c r="C89" s="1">
        <v>2.0</v>
      </c>
      <c r="D89" s="1">
        <v>3.0</v>
      </c>
      <c r="E89" s="1">
        <v>2.0</v>
      </c>
      <c r="F89" s="1">
        <v>0.0</v>
      </c>
      <c r="G89" s="1">
        <v>18.0</v>
      </c>
      <c r="H89" s="1" t="str">
        <f t="shared" si="2"/>
        <v>E023</v>
      </c>
      <c r="I89" s="1" t="s">
        <v>42</v>
      </c>
      <c r="J89" s="1">
        <v>23.0</v>
      </c>
      <c r="K89" s="2">
        <v>2000.0</v>
      </c>
      <c r="L89" s="1">
        <v>26105.0</v>
      </c>
      <c r="M89" s="1" t="str">
        <f>VLOOKUP(L89,'Catálogos'!$A$2:$B$492,2,0)</f>
        <v>Combustibles, lubricantes y aditivos para maquinaria, equipo de producción y servicios administrativos</v>
      </c>
      <c r="N89" s="1">
        <v>1.0</v>
      </c>
      <c r="O89" s="1">
        <v>4.0</v>
      </c>
      <c r="P89" s="1">
        <v>9.0</v>
      </c>
      <c r="Q89" s="1">
        <v>0.0</v>
      </c>
      <c r="R89" s="1">
        <v>62400.0</v>
      </c>
      <c r="S89" s="1">
        <v>0.0</v>
      </c>
      <c r="T89" s="1">
        <v>0.0</v>
      </c>
      <c r="U89" s="1">
        <v>0.0</v>
      </c>
      <c r="V89" s="1">
        <v>0.0</v>
      </c>
    </row>
    <row r="90" ht="15.75" customHeight="1">
      <c r="A90" s="1">
        <v>12.0</v>
      </c>
      <c r="B90" s="1" t="s">
        <v>22</v>
      </c>
      <c r="C90" s="1">
        <v>2.0</v>
      </c>
      <c r="D90" s="1">
        <v>3.0</v>
      </c>
      <c r="E90" s="1">
        <v>2.0</v>
      </c>
      <c r="F90" s="1">
        <v>0.0</v>
      </c>
      <c r="G90" s="1">
        <v>18.0</v>
      </c>
      <c r="H90" s="1" t="str">
        <f t="shared" si="2"/>
        <v>E023</v>
      </c>
      <c r="I90" s="1" t="s">
        <v>42</v>
      </c>
      <c r="J90" s="1">
        <v>23.0</v>
      </c>
      <c r="K90" s="2">
        <v>2000.0</v>
      </c>
      <c r="L90" s="1">
        <v>27101.0</v>
      </c>
      <c r="M90" s="1" t="str">
        <f>VLOOKUP(L90,'Catálogos'!$A$2:$B$492,2,0)</f>
        <v>Vestuario y uniformes</v>
      </c>
      <c r="N90" s="1">
        <v>1.0</v>
      </c>
      <c r="O90" s="1">
        <v>1.0</v>
      </c>
      <c r="P90" s="1">
        <v>9.0</v>
      </c>
      <c r="Q90" s="1">
        <v>0.0</v>
      </c>
      <c r="R90" s="1">
        <v>1942374.0</v>
      </c>
      <c r="S90" s="1">
        <v>3691873.0</v>
      </c>
      <c r="T90" s="1">
        <v>3691873.0</v>
      </c>
      <c r="U90" s="1">
        <v>3691873.0</v>
      </c>
      <c r="V90" s="1">
        <v>3691873.0</v>
      </c>
    </row>
    <row r="91" ht="15.75" customHeight="1">
      <c r="A91" s="1">
        <v>12.0</v>
      </c>
      <c r="B91" s="1" t="s">
        <v>22</v>
      </c>
      <c r="C91" s="1">
        <v>2.0</v>
      </c>
      <c r="D91" s="1">
        <v>3.0</v>
      </c>
      <c r="E91" s="1">
        <v>2.0</v>
      </c>
      <c r="F91" s="1">
        <v>0.0</v>
      </c>
      <c r="G91" s="1">
        <v>18.0</v>
      </c>
      <c r="H91" s="1" t="str">
        <f t="shared" si="2"/>
        <v>E023</v>
      </c>
      <c r="I91" s="1" t="s">
        <v>42</v>
      </c>
      <c r="J91" s="1">
        <v>23.0</v>
      </c>
      <c r="K91" s="2">
        <v>2000.0</v>
      </c>
      <c r="L91" s="1">
        <v>27101.0</v>
      </c>
      <c r="M91" s="1" t="str">
        <f>VLOOKUP(L91,'Catálogos'!$A$2:$B$492,2,0)</f>
        <v>Vestuario y uniformes</v>
      </c>
      <c r="N91" s="1">
        <v>1.0</v>
      </c>
      <c r="O91" s="1">
        <v>4.0</v>
      </c>
      <c r="P91" s="1">
        <v>9.0</v>
      </c>
      <c r="Q91" s="1">
        <v>0.0</v>
      </c>
      <c r="R91" s="1">
        <v>2000000.0</v>
      </c>
      <c r="S91" s="1">
        <v>4931.0</v>
      </c>
      <c r="T91" s="1">
        <v>4930.0</v>
      </c>
      <c r="U91" s="1">
        <v>4930.0</v>
      </c>
      <c r="V91" s="1">
        <v>4930.0</v>
      </c>
    </row>
    <row r="92" ht="15.75" customHeight="1">
      <c r="A92" s="1">
        <v>12.0</v>
      </c>
      <c r="B92" s="1" t="s">
        <v>22</v>
      </c>
      <c r="C92" s="1">
        <v>2.0</v>
      </c>
      <c r="D92" s="1">
        <v>3.0</v>
      </c>
      <c r="E92" s="1">
        <v>2.0</v>
      </c>
      <c r="F92" s="1">
        <v>0.0</v>
      </c>
      <c r="G92" s="1">
        <v>18.0</v>
      </c>
      <c r="H92" s="1" t="str">
        <f t="shared" si="2"/>
        <v>E023</v>
      </c>
      <c r="I92" s="1" t="s">
        <v>42</v>
      </c>
      <c r="J92" s="1">
        <v>23.0</v>
      </c>
      <c r="K92" s="2">
        <v>2000.0</v>
      </c>
      <c r="L92" s="1">
        <v>27501.0</v>
      </c>
      <c r="M92" s="1" t="str">
        <f>VLOOKUP(L92,'Catálogos'!$A$2:$B$492,2,0)</f>
        <v>Blancos y otros productos textiles, excepto prendas de vestir</v>
      </c>
      <c r="N92" s="1">
        <v>1.0</v>
      </c>
      <c r="O92" s="1">
        <v>1.0</v>
      </c>
      <c r="P92" s="1">
        <v>9.0</v>
      </c>
      <c r="Q92" s="1">
        <v>0.0</v>
      </c>
      <c r="R92" s="1">
        <v>1026225.0</v>
      </c>
      <c r="S92" s="1">
        <v>0.0</v>
      </c>
      <c r="T92" s="1">
        <v>0.0</v>
      </c>
      <c r="U92" s="1">
        <v>0.0</v>
      </c>
      <c r="V92" s="1">
        <v>0.0</v>
      </c>
    </row>
    <row r="93" ht="15.75" customHeight="1">
      <c r="A93" s="1">
        <v>12.0</v>
      </c>
      <c r="B93" s="1" t="s">
        <v>22</v>
      </c>
      <c r="C93" s="1">
        <v>2.0</v>
      </c>
      <c r="D93" s="1">
        <v>3.0</v>
      </c>
      <c r="E93" s="1">
        <v>2.0</v>
      </c>
      <c r="F93" s="1">
        <v>0.0</v>
      </c>
      <c r="G93" s="1">
        <v>18.0</v>
      </c>
      <c r="H93" s="1" t="str">
        <f t="shared" si="2"/>
        <v>E023</v>
      </c>
      <c r="I93" s="1" t="s">
        <v>42</v>
      </c>
      <c r="J93" s="1">
        <v>23.0</v>
      </c>
      <c r="K93" s="2">
        <v>2000.0</v>
      </c>
      <c r="L93" s="1">
        <v>27501.0</v>
      </c>
      <c r="M93" s="1" t="str">
        <f>VLOOKUP(L93,'Catálogos'!$A$2:$B$492,2,0)</f>
        <v>Blancos y otros productos textiles, excepto prendas de vestir</v>
      </c>
      <c r="N93" s="1">
        <v>1.0</v>
      </c>
      <c r="O93" s="1">
        <v>4.0</v>
      </c>
      <c r="P93" s="1">
        <v>9.0</v>
      </c>
      <c r="Q93" s="1">
        <v>0.0</v>
      </c>
      <c r="R93" s="1">
        <v>550000.0</v>
      </c>
      <c r="S93" s="1">
        <v>0.0</v>
      </c>
      <c r="T93" s="1">
        <v>0.0</v>
      </c>
      <c r="U93" s="1">
        <v>0.0</v>
      </c>
      <c r="V93" s="1">
        <v>0.0</v>
      </c>
    </row>
    <row r="94" ht="15.75" customHeight="1">
      <c r="A94" s="1">
        <v>12.0</v>
      </c>
      <c r="B94" s="1" t="s">
        <v>22</v>
      </c>
      <c r="C94" s="1">
        <v>2.0</v>
      </c>
      <c r="D94" s="1">
        <v>3.0</v>
      </c>
      <c r="E94" s="1">
        <v>2.0</v>
      </c>
      <c r="F94" s="1">
        <v>0.0</v>
      </c>
      <c r="G94" s="1">
        <v>18.0</v>
      </c>
      <c r="H94" s="1" t="str">
        <f t="shared" si="2"/>
        <v>E023</v>
      </c>
      <c r="I94" s="1" t="s">
        <v>42</v>
      </c>
      <c r="J94" s="1">
        <v>23.0</v>
      </c>
      <c r="K94" s="2">
        <v>2000.0</v>
      </c>
      <c r="L94" s="1">
        <v>29101.0</v>
      </c>
      <c r="M94" s="1" t="str">
        <f>VLOOKUP(L94,'Catálogos'!$A$2:$B$492,2,0)</f>
        <v>Herramientas menores</v>
      </c>
      <c r="N94" s="1">
        <v>1.0</v>
      </c>
      <c r="O94" s="1">
        <v>1.0</v>
      </c>
      <c r="P94" s="1">
        <v>9.0</v>
      </c>
      <c r="Q94" s="1">
        <v>0.0</v>
      </c>
      <c r="R94" s="1">
        <v>0.0</v>
      </c>
      <c r="S94" s="1">
        <v>142400.0</v>
      </c>
      <c r="T94" s="1">
        <v>142400.0</v>
      </c>
      <c r="U94" s="1">
        <v>142400.0</v>
      </c>
      <c r="V94" s="1">
        <v>142400.0</v>
      </c>
    </row>
    <row r="95" ht="15.75" customHeight="1">
      <c r="A95" s="1">
        <v>12.0</v>
      </c>
      <c r="B95" s="1" t="s">
        <v>22</v>
      </c>
      <c r="C95" s="1">
        <v>2.0</v>
      </c>
      <c r="D95" s="1">
        <v>3.0</v>
      </c>
      <c r="E95" s="1">
        <v>2.0</v>
      </c>
      <c r="F95" s="1">
        <v>0.0</v>
      </c>
      <c r="G95" s="1">
        <v>18.0</v>
      </c>
      <c r="H95" s="1" t="str">
        <f t="shared" si="2"/>
        <v>E023</v>
      </c>
      <c r="I95" s="1" t="s">
        <v>42</v>
      </c>
      <c r="J95" s="1">
        <v>23.0</v>
      </c>
      <c r="K95" s="2">
        <v>2000.0</v>
      </c>
      <c r="L95" s="1">
        <v>29101.0</v>
      </c>
      <c r="M95" s="1" t="str">
        <f>VLOOKUP(L95,'Catálogos'!$A$2:$B$492,2,0)</f>
        <v>Herramientas menores</v>
      </c>
      <c r="N95" s="1">
        <v>1.0</v>
      </c>
      <c r="O95" s="1">
        <v>4.0</v>
      </c>
      <c r="P95" s="1">
        <v>9.0</v>
      </c>
      <c r="Q95" s="1">
        <v>0.0</v>
      </c>
      <c r="R95" s="1">
        <v>584000.0</v>
      </c>
      <c r="S95" s="1">
        <v>10755.0</v>
      </c>
      <c r="T95" s="1">
        <v>8113.0</v>
      </c>
      <c r="U95" s="1">
        <v>8113.0</v>
      </c>
      <c r="V95" s="1">
        <v>8113.0</v>
      </c>
    </row>
    <row r="96" ht="15.75" customHeight="1">
      <c r="A96" s="1">
        <v>12.0</v>
      </c>
      <c r="B96" s="1" t="s">
        <v>22</v>
      </c>
      <c r="C96" s="1">
        <v>2.0</v>
      </c>
      <c r="D96" s="1">
        <v>3.0</v>
      </c>
      <c r="E96" s="1">
        <v>2.0</v>
      </c>
      <c r="F96" s="1">
        <v>0.0</v>
      </c>
      <c r="G96" s="1">
        <v>18.0</v>
      </c>
      <c r="H96" s="1" t="str">
        <f t="shared" si="2"/>
        <v>E023</v>
      </c>
      <c r="I96" s="1" t="s">
        <v>42</v>
      </c>
      <c r="J96" s="1">
        <v>23.0</v>
      </c>
      <c r="K96" s="2">
        <v>2000.0</v>
      </c>
      <c r="L96" s="1">
        <v>29201.0</v>
      </c>
      <c r="M96" s="1" t="str">
        <f>VLOOKUP(L96,'Catálogos'!$A$2:$B$492,2,0)</f>
        <v>Refacciones y accesorios menores de edificios</v>
      </c>
      <c r="N96" s="1">
        <v>1.0</v>
      </c>
      <c r="O96" s="1">
        <v>4.0</v>
      </c>
      <c r="P96" s="1">
        <v>9.0</v>
      </c>
      <c r="Q96" s="1">
        <v>0.0</v>
      </c>
      <c r="R96" s="1">
        <v>3000.0</v>
      </c>
      <c r="S96" s="1">
        <v>6655.0</v>
      </c>
      <c r="T96" s="1">
        <v>6655.0</v>
      </c>
      <c r="U96" s="1">
        <v>6655.0</v>
      </c>
      <c r="V96" s="1">
        <v>6655.0</v>
      </c>
    </row>
    <row r="97" ht="15.75" customHeight="1">
      <c r="A97" s="1">
        <v>12.0</v>
      </c>
      <c r="B97" s="1" t="s">
        <v>22</v>
      </c>
      <c r="C97" s="1">
        <v>2.0</v>
      </c>
      <c r="D97" s="1">
        <v>3.0</v>
      </c>
      <c r="E97" s="1">
        <v>2.0</v>
      </c>
      <c r="F97" s="1">
        <v>0.0</v>
      </c>
      <c r="G97" s="1">
        <v>18.0</v>
      </c>
      <c r="H97" s="1" t="str">
        <f t="shared" si="2"/>
        <v>E023</v>
      </c>
      <c r="I97" s="1" t="s">
        <v>42</v>
      </c>
      <c r="J97" s="1">
        <v>23.0</v>
      </c>
      <c r="K97" s="2">
        <v>2000.0</v>
      </c>
      <c r="L97" s="1">
        <v>29301.0</v>
      </c>
      <c r="M97" s="1" t="str">
        <f>VLOOKUP(L97,'Catálogos'!$A$2:$B$492,2,0)</f>
        <v>Refacciones y accesorios menores de mobiliario y equipo de administración, educacional y recreativo</v>
      </c>
      <c r="N97" s="1">
        <v>1.0</v>
      </c>
      <c r="O97" s="1">
        <v>4.0</v>
      </c>
      <c r="P97" s="1">
        <v>9.0</v>
      </c>
      <c r="Q97" s="1">
        <v>0.0</v>
      </c>
      <c r="R97" s="1">
        <v>0.0</v>
      </c>
      <c r="S97" s="1">
        <v>83997.0</v>
      </c>
      <c r="T97" s="1">
        <v>79713.0</v>
      </c>
      <c r="U97" s="1">
        <v>79713.0</v>
      </c>
      <c r="V97" s="1">
        <v>79713.0</v>
      </c>
    </row>
    <row r="98" ht="15.75" customHeight="1">
      <c r="A98" s="1">
        <v>12.0</v>
      </c>
      <c r="B98" s="1" t="s">
        <v>22</v>
      </c>
      <c r="C98" s="1">
        <v>2.0</v>
      </c>
      <c r="D98" s="1">
        <v>3.0</v>
      </c>
      <c r="E98" s="1">
        <v>2.0</v>
      </c>
      <c r="F98" s="1">
        <v>0.0</v>
      </c>
      <c r="G98" s="1">
        <v>18.0</v>
      </c>
      <c r="H98" s="1" t="str">
        <f t="shared" si="2"/>
        <v>E023</v>
      </c>
      <c r="I98" s="1" t="s">
        <v>42</v>
      </c>
      <c r="J98" s="1">
        <v>23.0</v>
      </c>
      <c r="K98" s="2">
        <v>2000.0</v>
      </c>
      <c r="L98" s="1">
        <v>29401.0</v>
      </c>
      <c r="M98" s="1" t="str">
        <f>VLOOKUP(L98,'Catálogos'!$A$2:$B$492,2,0)</f>
        <v>Refacciones y accesorios para equipo de cómputo y telecomunicaciones</v>
      </c>
      <c r="N98" s="1">
        <v>1.0</v>
      </c>
      <c r="O98" s="1">
        <v>4.0</v>
      </c>
      <c r="P98" s="1">
        <v>9.0</v>
      </c>
      <c r="Q98" s="1">
        <v>0.0</v>
      </c>
      <c r="R98" s="1">
        <v>2000.0</v>
      </c>
      <c r="S98" s="1">
        <v>2334.0</v>
      </c>
      <c r="T98" s="1">
        <v>2154.0</v>
      </c>
      <c r="U98" s="1">
        <v>2154.0</v>
      </c>
      <c r="V98" s="1">
        <v>2154.0</v>
      </c>
    </row>
    <row r="99" ht="15.75" customHeight="1">
      <c r="A99" s="1">
        <v>12.0</v>
      </c>
      <c r="B99" s="1" t="s">
        <v>22</v>
      </c>
      <c r="C99" s="1">
        <v>2.0</v>
      </c>
      <c r="D99" s="1">
        <v>3.0</v>
      </c>
      <c r="E99" s="1">
        <v>2.0</v>
      </c>
      <c r="F99" s="1">
        <v>0.0</v>
      </c>
      <c r="G99" s="1">
        <v>18.0</v>
      </c>
      <c r="H99" s="1" t="str">
        <f t="shared" si="2"/>
        <v>E023</v>
      </c>
      <c r="I99" s="1" t="s">
        <v>42</v>
      </c>
      <c r="J99" s="1">
        <v>23.0</v>
      </c>
      <c r="K99" s="2">
        <v>2000.0</v>
      </c>
      <c r="L99" s="1">
        <v>29501.0</v>
      </c>
      <c r="M99" s="1" t="str">
        <f>VLOOKUP(L99,'Catálogos'!$A$2:$B$492,2,0)</f>
        <v>Refacciones y accesorios menores de equipo e instrumental médico y de laboratorio</v>
      </c>
      <c r="N99" s="1">
        <v>1.0</v>
      </c>
      <c r="O99" s="1">
        <v>1.0</v>
      </c>
      <c r="P99" s="1">
        <v>9.0</v>
      </c>
      <c r="Q99" s="1">
        <v>0.0</v>
      </c>
      <c r="R99" s="1">
        <v>129515.0</v>
      </c>
      <c r="S99" s="1">
        <v>149675.0</v>
      </c>
      <c r="T99" s="1">
        <v>149675.0</v>
      </c>
      <c r="U99" s="1">
        <v>149675.0</v>
      </c>
      <c r="V99" s="1">
        <v>149675.0</v>
      </c>
    </row>
    <row r="100" ht="15.75" customHeight="1">
      <c r="A100" s="1">
        <v>12.0</v>
      </c>
      <c r="B100" s="1" t="s">
        <v>22</v>
      </c>
      <c r="C100" s="1">
        <v>2.0</v>
      </c>
      <c r="D100" s="1">
        <v>3.0</v>
      </c>
      <c r="E100" s="1">
        <v>2.0</v>
      </c>
      <c r="F100" s="1">
        <v>0.0</v>
      </c>
      <c r="G100" s="1">
        <v>18.0</v>
      </c>
      <c r="H100" s="1" t="str">
        <f t="shared" si="2"/>
        <v>E023</v>
      </c>
      <c r="I100" s="1" t="s">
        <v>42</v>
      </c>
      <c r="J100" s="1">
        <v>23.0</v>
      </c>
      <c r="K100" s="2">
        <v>2000.0</v>
      </c>
      <c r="L100" s="1">
        <v>29501.0</v>
      </c>
      <c r="M100" s="1" t="str">
        <f>VLOOKUP(L100,'Catálogos'!$A$2:$B$492,2,0)</f>
        <v>Refacciones y accesorios menores de equipo e instrumental médico y de laboratorio</v>
      </c>
      <c r="N100" s="1">
        <v>1.0</v>
      </c>
      <c r="O100" s="1">
        <v>4.0</v>
      </c>
      <c r="P100" s="1">
        <v>9.0</v>
      </c>
      <c r="Q100" s="1">
        <v>0.0</v>
      </c>
      <c r="R100" s="1">
        <v>50000.0</v>
      </c>
      <c r="S100" s="1">
        <v>13182.0</v>
      </c>
      <c r="T100" s="1">
        <v>11456.0</v>
      </c>
      <c r="U100" s="1">
        <v>11456.0</v>
      </c>
      <c r="V100" s="1">
        <v>11456.0</v>
      </c>
    </row>
    <row r="101" ht="15.75" customHeight="1">
      <c r="A101" s="1">
        <v>12.0</v>
      </c>
      <c r="B101" s="1" t="s">
        <v>22</v>
      </c>
      <c r="C101" s="1">
        <v>2.0</v>
      </c>
      <c r="D101" s="1">
        <v>3.0</v>
      </c>
      <c r="E101" s="1">
        <v>2.0</v>
      </c>
      <c r="F101" s="1">
        <v>0.0</v>
      </c>
      <c r="G101" s="1">
        <v>18.0</v>
      </c>
      <c r="H101" s="1" t="str">
        <f t="shared" si="2"/>
        <v>E023</v>
      </c>
      <c r="I101" s="1" t="s">
        <v>42</v>
      </c>
      <c r="J101" s="1">
        <v>23.0</v>
      </c>
      <c r="K101" s="2">
        <v>2000.0</v>
      </c>
      <c r="L101" s="1">
        <v>29801.0</v>
      </c>
      <c r="M101" s="1" t="str">
        <f>VLOOKUP(L101,'Catálogos'!$A$2:$B$492,2,0)</f>
        <v>Refacciones y accesorios menores de maquinaria y otros equipos</v>
      </c>
      <c r="N101" s="1">
        <v>1.0</v>
      </c>
      <c r="O101" s="1">
        <v>4.0</v>
      </c>
      <c r="P101" s="1">
        <v>9.0</v>
      </c>
      <c r="Q101" s="1">
        <v>0.0</v>
      </c>
      <c r="R101" s="1">
        <v>2000.0</v>
      </c>
      <c r="S101" s="1">
        <v>28334.0</v>
      </c>
      <c r="T101" s="1">
        <v>28334.0</v>
      </c>
      <c r="U101" s="1">
        <v>28334.0</v>
      </c>
      <c r="V101" s="1">
        <v>28334.0</v>
      </c>
    </row>
    <row r="102" ht="15.75" customHeight="1">
      <c r="A102" s="1">
        <v>12.0</v>
      </c>
      <c r="B102" s="1" t="s">
        <v>22</v>
      </c>
      <c r="C102" s="1">
        <v>2.0</v>
      </c>
      <c r="D102" s="1">
        <v>3.0</v>
      </c>
      <c r="E102" s="1">
        <v>2.0</v>
      </c>
      <c r="F102" s="1">
        <v>0.0</v>
      </c>
      <c r="G102" s="1">
        <v>18.0</v>
      </c>
      <c r="H102" s="1" t="str">
        <f t="shared" si="2"/>
        <v>E023</v>
      </c>
      <c r="I102" s="1" t="s">
        <v>42</v>
      </c>
      <c r="J102" s="1">
        <v>23.0</v>
      </c>
      <c r="K102" s="2">
        <v>2000.0</v>
      </c>
      <c r="L102" s="1">
        <v>29901.0</v>
      </c>
      <c r="M102" s="1" t="str">
        <f>VLOOKUP(L102,'Catálogos'!$A$2:$B$492,2,0)</f>
        <v>Refacciones y accesorios menores otros bienes muebles</v>
      </c>
      <c r="N102" s="1">
        <v>1.0</v>
      </c>
      <c r="O102" s="1">
        <v>4.0</v>
      </c>
      <c r="P102" s="1">
        <v>9.0</v>
      </c>
      <c r="Q102" s="1">
        <v>0.0</v>
      </c>
      <c r="R102" s="1">
        <v>0.0</v>
      </c>
      <c r="S102" s="1">
        <v>80379.0</v>
      </c>
      <c r="T102" s="1">
        <v>13859.0</v>
      </c>
      <c r="U102" s="1">
        <v>13859.0</v>
      </c>
      <c r="V102" s="1">
        <v>13859.0</v>
      </c>
    </row>
    <row r="103" ht="15.75" customHeight="1">
      <c r="A103" s="1">
        <v>12.0</v>
      </c>
      <c r="B103" s="1" t="s">
        <v>22</v>
      </c>
      <c r="C103" s="1">
        <v>2.0</v>
      </c>
      <c r="D103" s="1">
        <v>3.0</v>
      </c>
      <c r="E103" s="1">
        <v>2.0</v>
      </c>
      <c r="F103" s="1">
        <v>0.0</v>
      </c>
      <c r="G103" s="1">
        <v>18.0</v>
      </c>
      <c r="H103" s="1" t="str">
        <f t="shared" si="2"/>
        <v>E023</v>
      </c>
      <c r="I103" s="1" t="s">
        <v>42</v>
      </c>
      <c r="J103" s="1">
        <v>23.0</v>
      </c>
      <c r="K103" s="2">
        <v>3000.0</v>
      </c>
      <c r="L103" s="1">
        <v>31101.0</v>
      </c>
      <c r="M103" s="1" t="str">
        <f>VLOOKUP(L103,'Catálogos'!$A$2:$B$492,2,0)</f>
        <v>Servicio de energía eléctrica</v>
      </c>
      <c r="N103" s="1">
        <v>1.0</v>
      </c>
      <c r="O103" s="1">
        <v>1.0</v>
      </c>
      <c r="P103" s="1">
        <v>9.0</v>
      </c>
      <c r="Q103" s="1">
        <v>0.0</v>
      </c>
      <c r="R103" s="1">
        <v>2600897.0</v>
      </c>
      <c r="S103" s="1">
        <v>2600897.0</v>
      </c>
      <c r="T103" s="1">
        <v>2600897.0</v>
      </c>
      <c r="U103" s="1">
        <v>2600897.0</v>
      </c>
      <c r="V103" s="1">
        <v>2600897.0</v>
      </c>
    </row>
    <row r="104" ht="15.75" customHeight="1">
      <c r="A104" s="1">
        <v>12.0</v>
      </c>
      <c r="B104" s="1" t="s">
        <v>22</v>
      </c>
      <c r="C104" s="1">
        <v>2.0</v>
      </c>
      <c r="D104" s="1">
        <v>3.0</v>
      </c>
      <c r="E104" s="1">
        <v>2.0</v>
      </c>
      <c r="F104" s="1">
        <v>0.0</v>
      </c>
      <c r="G104" s="1">
        <v>18.0</v>
      </c>
      <c r="H104" s="1" t="str">
        <f t="shared" si="2"/>
        <v>E023</v>
      </c>
      <c r="I104" s="1" t="s">
        <v>42</v>
      </c>
      <c r="J104" s="1">
        <v>23.0</v>
      </c>
      <c r="K104" s="2">
        <v>3000.0</v>
      </c>
      <c r="L104" s="1">
        <v>31101.0</v>
      </c>
      <c r="M104" s="1" t="str">
        <f>VLOOKUP(L104,'Catálogos'!$A$2:$B$492,2,0)</f>
        <v>Servicio de energía eléctrica</v>
      </c>
      <c r="N104" s="1">
        <v>1.0</v>
      </c>
      <c r="O104" s="1">
        <v>4.0</v>
      </c>
      <c r="P104" s="1">
        <v>9.0</v>
      </c>
      <c r="Q104" s="1">
        <v>0.0</v>
      </c>
      <c r="R104" s="1">
        <v>728991.0</v>
      </c>
      <c r="S104" s="1">
        <v>452896.0</v>
      </c>
      <c r="T104" s="1">
        <v>450978.0</v>
      </c>
      <c r="U104" s="1">
        <v>450978.0</v>
      </c>
      <c r="V104" s="1">
        <v>450978.0</v>
      </c>
    </row>
    <row r="105" ht="15.75" customHeight="1">
      <c r="A105" s="1">
        <v>12.0</v>
      </c>
      <c r="B105" s="1" t="s">
        <v>22</v>
      </c>
      <c r="C105" s="1">
        <v>2.0</v>
      </c>
      <c r="D105" s="1">
        <v>3.0</v>
      </c>
      <c r="E105" s="1">
        <v>2.0</v>
      </c>
      <c r="F105" s="1">
        <v>0.0</v>
      </c>
      <c r="G105" s="1">
        <v>18.0</v>
      </c>
      <c r="H105" s="1" t="str">
        <f t="shared" si="2"/>
        <v>E023</v>
      </c>
      <c r="I105" s="1" t="s">
        <v>42</v>
      </c>
      <c r="J105" s="1">
        <v>23.0</v>
      </c>
      <c r="K105" s="2">
        <v>3000.0</v>
      </c>
      <c r="L105" s="1">
        <v>31201.0</v>
      </c>
      <c r="M105" s="1" t="str">
        <f>VLOOKUP(L105,'Catálogos'!$A$2:$B$492,2,0)</f>
        <v>Servicio de gas</v>
      </c>
      <c r="N105" s="1">
        <v>1.0</v>
      </c>
      <c r="O105" s="1">
        <v>1.0</v>
      </c>
      <c r="P105" s="1">
        <v>9.0</v>
      </c>
      <c r="Q105" s="1">
        <v>0.0</v>
      </c>
      <c r="R105" s="1">
        <v>6386096.0</v>
      </c>
      <c r="S105" s="1">
        <v>760021.0</v>
      </c>
      <c r="T105" s="1">
        <v>760021.0</v>
      </c>
      <c r="U105" s="1">
        <v>760021.0</v>
      </c>
      <c r="V105" s="1">
        <v>760021.0</v>
      </c>
    </row>
    <row r="106" ht="15.75" customHeight="1">
      <c r="A106" s="1">
        <v>12.0</v>
      </c>
      <c r="B106" s="1" t="s">
        <v>22</v>
      </c>
      <c r="C106" s="1">
        <v>2.0</v>
      </c>
      <c r="D106" s="1">
        <v>3.0</v>
      </c>
      <c r="E106" s="1">
        <v>2.0</v>
      </c>
      <c r="F106" s="1">
        <v>0.0</v>
      </c>
      <c r="G106" s="1">
        <v>18.0</v>
      </c>
      <c r="H106" s="1" t="str">
        <f t="shared" si="2"/>
        <v>E023</v>
      </c>
      <c r="I106" s="1" t="s">
        <v>42</v>
      </c>
      <c r="J106" s="1">
        <v>23.0</v>
      </c>
      <c r="K106" s="2">
        <v>3000.0</v>
      </c>
      <c r="L106" s="1">
        <v>31201.0</v>
      </c>
      <c r="M106" s="1" t="str">
        <f>VLOOKUP(L106,'Catálogos'!$A$2:$B$492,2,0)</f>
        <v>Servicio de gas</v>
      </c>
      <c r="N106" s="1">
        <v>1.0</v>
      </c>
      <c r="O106" s="1">
        <v>4.0</v>
      </c>
      <c r="P106" s="1">
        <v>9.0</v>
      </c>
      <c r="Q106" s="1">
        <v>0.0</v>
      </c>
      <c r="R106" s="1">
        <v>1200000.0</v>
      </c>
      <c r="S106" s="1">
        <v>0.0</v>
      </c>
      <c r="T106" s="1">
        <v>0.0</v>
      </c>
      <c r="U106" s="1">
        <v>0.0</v>
      </c>
      <c r="V106" s="1">
        <v>0.0</v>
      </c>
    </row>
    <row r="107" ht="15.75" customHeight="1">
      <c r="A107" s="1">
        <v>12.0</v>
      </c>
      <c r="B107" s="1" t="s">
        <v>22</v>
      </c>
      <c r="C107" s="1">
        <v>2.0</v>
      </c>
      <c r="D107" s="1">
        <v>3.0</v>
      </c>
      <c r="E107" s="1">
        <v>2.0</v>
      </c>
      <c r="F107" s="1">
        <v>0.0</v>
      </c>
      <c r="G107" s="1">
        <v>18.0</v>
      </c>
      <c r="H107" s="1" t="str">
        <f t="shared" si="2"/>
        <v>E023</v>
      </c>
      <c r="I107" s="1" t="s">
        <v>42</v>
      </c>
      <c r="J107" s="1">
        <v>23.0</v>
      </c>
      <c r="K107" s="2">
        <v>3000.0</v>
      </c>
      <c r="L107" s="1">
        <v>31301.0</v>
      </c>
      <c r="M107" s="1" t="str">
        <f>VLOOKUP(L107,'Catálogos'!$A$2:$B$492,2,0)</f>
        <v>Servicio de agua</v>
      </c>
      <c r="N107" s="1">
        <v>1.0</v>
      </c>
      <c r="O107" s="1">
        <v>1.0</v>
      </c>
      <c r="P107" s="1">
        <v>9.0</v>
      </c>
      <c r="Q107" s="1">
        <v>0.0</v>
      </c>
      <c r="R107" s="1">
        <v>0.0</v>
      </c>
      <c r="S107" s="1">
        <v>3834347.0</v>
      </c>
      <c r="T107" s="1">
        <v>3834347.0</v>
      </c>
      <c r="U107" s="1">
        <v>3834347.0</v>
      </c>
      <c r="V107" s="1">
        <v>3834347.0</v>
      </c>
    </row>
    <row r="108" ht="15.75" customHeight="1">
      <c r="A108" s="1">
        <v>12.0</v>
      </c>
      <c r="B108" s="1" t="s">
        <v>22</v>
      </c>
      <c r="C108" s="1">
        <v>2.0</v>
      </c>
      <c r="D108" s="1">
        <v>3.0</v>
      </c>
      <c r="E108" s="1">
        <v>2.0</v>
      </c>
      <c r="F108" s="1">
        <v>0.0</v>
      </c>
      <c r="G108" s="1">
        <v>18.0</v>
      </c>
      <c r="H108" s="1" t="str">
        <f t="shared" si="2"/>
        <v>E023</v>
      </c>
      <c r="I108" s="1" t="s">
        <v>42</v>
      </c>
      <c r="J108" s="1">
        <v>23.0</v>
      </c>
      <c r="K108" s="2">
        <v>3000.0</v>
      </c>
      <c r="L108" s="1">
        <v>31401.0</v>
      </c>
      <c r="M108" s="1" t="str">
        <f>VLOOKUP(L108,'Catálogos'!$A$2:$B$492,2,0)</f>
        <v>Servicio telefónico convencional</v>
      </c>
      <c r="N108" s="1">
        <v>1.0</v>
      </c>
      <c r="O108" s="1">
        <v>1.0</v>
      </c>
      <c r="P108" s="1">
        <v>9.0</v>
      </c>
      <c r="Q108" s="1">
        <v>0.0</v>
      </c>
      <c r="R108" s="1">
        <v>217232.0</v>
      </c>
      <c r="S108" s="1">
        <v>217232.0</v>
      </c>
      <c r="T108" s="1">
        <v>217232.0</v>
      </c>
      <c r="U108" s="1">
        <v>217232.0</v>
      </c>
      <c r="V108" s="1">
        <v>217232.0</v>
      </c>
    </row>
    <row r="109" ht="15.75" customHeight="1">
      <c r="A109" s="1">
        <v>12.0</v>
      </c>
      <c r="B109" s="1" t="s">
        <v>22</v>
      </c>
      <c r="C109" s="1">
        <v>2.0</v>
      </c>
      <c r="D109" s="1">
        <v>3.0</v>
      </c>
      <c r="E109" s="1">
        <v>2.0</v>
      </c>
      <c r="F109" s="1">
        <v>0.0</v>
      </c>
      <c r="G109" s="1">
        <v>18.0</v>
      </c>
      <c r="H109" s="1" t="str">
        <f t="shared" si="2"/>
        <v>E023</v>
      </c>
      <c r="I109" s="1" t="s">
        <v>42</v>
      </c>
      <c r="J109" s="1">
        <v>23.0</v>
      </c>
      <c r="K109" s="2">
        <v>3000.0</v>
      </c>
      <c r="L109" s="1">
        <v>31401.0</v>
      </c>
      <c r="M109" s="1" t="str">
        <f>VLOOKUP(L109,'Catálogos'!$A$2:$B$492,2,0)</f>
        <v>Servicio telefónico convencional</v>
      </c>
      <c r="N109" s="1">
        <v>1.0</v>
      </c>
      <c r="O109" s="1">
        <v>4.0</v>
      </c>
      <c r="P109" s="1">
        <v>9.0</v>
      </c>
      <c r="Q109" s="1">
        <v>0.0</v>
      </c>
      <c r="R109" s="1">
        <v>42494.0</v>
      </c>
      <c r="S109" s="1">
        <v>26812.0</v>
      </c>
      <c r="T109" s="1">
        <v>26811.0</v>
      </c>
      <c r="U109" s="1">
        <v>26811.0</v>
      </c>
      <c r="V109" s="1">
        <v>26811.0</v>
      </c>
    </row>
    <row r="110" ht="15.75" customHeight="1">
      <c r="A110" s="1">
        <v>12.0</v>
      </c>
      <c r="B110" s="1" t="s">
        <v>22</v>
      </c>
      <c r="C110" s="1">
        <v>2.0</v>
      </c>
      <c r="D110" s="1">
        <v>3.0</v>
      </c>
      <c r="E110" s="1">
        <v>2.0</v>
      </c>
      <c r="F110" s="1">
        <v>0.0</v>
      </c>
      <c r="G110" s="1">
        <v>18.0</v>
      </c>
      <c r="H110" s="1" t="str">
        <f t="shared" si="2"/>
        <v>E023</v>
      </c>
      <c r="I110" s="1" t="s">
        <v>42</v>
      </c>
      <c r="J110" s="1">
        <v>23.0</v>
      </c>
      <c r="K110" s="2">
        <v>3000.0</v>
      </c>
      <c r="L110" s="1">
        <v>31701.0</v>
      </c>
      <c r="M110" s="1" t="str">
        <f>VLOOKUP(L110,'Catálogos'!$A$2:$B$492,2,0)</f>
        <v>Servicios de conducción de señales analógicas y digitales</v>
      </c>
      <c r="N110" s="1">
        <v>1.0</v>
      </c>
      <c r="O110" s="1">
        <v>1.0</v>
      </c>
      <c r="P110" s="1">
        <v>9.0</v>
      </c>
      <c r="Q110" s="1">
        <v>0.0</v>
      </c>
      <c r="R110" s="1">
        <v>318536.0</v>
      </c>
      <c r="S110" s="1">
        <v>182130.0</v>
      </c>
      <c r="T110" s="1">
        <v>182130.0</v>
      </c>
      <c r="U110" s="1">
        <v>182130.0</v>
      </c>
      <c r="V110" s="1">
        <v>182130.0</v>
      </c>
    </row>
    <row r="111" ht="15.75" customHeight="1">
      <c r="A111" s="1">
        <v>12.0</v>
      </c>
      <c r="B111" s="1" t="s">
        <v>22</v>
      </c>
      <c r="C111" s="1">
        <v>2.0</v>
      </c>
      <c r="D111" s="1">
        <v>3.0</v>
      </c>
      <c r="E111" s="1">
        <v>2.0</v>
      </c>
      <c r="F111" s="1">
        <v>0.0</v>
      </c>
      <c r="G111" s="1">
        <v>18.0</v>
      </c>
      <c r="H111" s="1" t="str">
        <f t="shared" si="2"/>
        <v>E023</v>
      </c>
      <c r="I111" s="1" t="s">
        <v>42</v>
      </c>
      <c r="J111" s="1">
        <v>23.0</v>
      </c>
      <c r="K111" s="2">
        <v>3000.0</v>
      </c>
      <c r="L111" s="1">
        <v>31701.0</v>
      </c>
      <c r="M111" s="1" t="str">
        <f>VLOOKUP(L111,'Catálogos'!$A$2:$B$492,2,0)</f>
        <v>Servicios de conducción de señales analógicas y digitales</v>
      </c>
      <c r="N111" s="1">
        <v>1.0</v>
      </c>
      <c r="O111" s="1">
        <v>4.0</v>
      </c>
      <c r="P111" s="1">
        <v>9.0</v>
      </c>
      <c r="Q111" s="1">
        <v>0.0</v>
      </c>
      <c r="R111" s="1">
        <v>63000.0</v>
      </c>
      <c r="S111" s="1">
        <v>0.0</v>
      </c>
      <c r="T111" s="1">
        <v>0.0</v>
      </c>
      <c r="U111" s="1">
        <v>0.0</v>
      </c>
      <c r="V111" s="1">
        <v>0.0</v>
      </c>
    </row>
    <row r="112" ht="15.75" customHeight="1">
      <c r="A112" s="1">
        <v>12.0</v>
      </c>
      <c r="B112" s="1" t="s">
        <v>22</v>
      </c>
      <c r="C112" s="1">
        <v>2.0</v>
      </c>
      <c r="D112" s="1">
        <v>3.0</v>
      </c>
      <c r="E112" s="1">
        <v>2.0</v>
      </c>
      <c r="F112" s="1">
        <v>0.0</v>
      </c>
      <c r="G112" s="1">
        <v>18.0</v>
      </c>
      <c r="H112" s="1" t="str">
        <f t="shared" si="2"/>
        <v>E023</v>
      </c>
      <c r="I112" s="1" t="s">
        <v>42</v>
      </c>
      <c r="J112" s="1">
        <v>23.0</v>
      </c>
      <c r="K112" s="2">
        <v>3000.0</v>
      </c>
      <c r="L112" s="1">
        <v>32301.0</v>
      </c>
      <c r="M112" s="1" t="str">
        <f>VLOOKUP(L112,'Catálogos'!$A$2:$B$492,2,0)</f>
        <v>Arrendamiento de equipo y bienes informáticos</v>
      </c>
      <c r="N112" s="1">
        <v>1.0</v>
      </c>
      <c r="O112" s="1">
        <v>1.0</v>
      </c>
      <c r="P112" s="1">
        <v>9.0</v>
      </c>
      <c r="Q112" s="1">
        <v>0.0</v>
      </c>
      <c r="R112" s="1">
        <v>2642940.0</v>
      </c>
      <c r="S112" s="1">
        <v>5753893.0</v>
      </c>
      <c r="T112" s="1">
        <v>5753893.0</v>
      </c>
      <c r="U112" s="1">
        <v>5753893.0</v>
      </c>
      <c r="V112" s="1">
        <v>5753893.0</v>
      </c>
    </row>
    <row r="113" ht="15.75" customHeight="1">
      <c r="A113" s="1">
        <v>12.0</v>
      </c>
      <c r="B113" s="1" t="s">
        <v>22</v>
      </c>
      <c r="C113" s="1">
        <v>2.0</v>
      </c>
      <c r="D113" s="1">
        <v>3.0</v>
      </c>
      <c r="E113" s="1">
        <v>2.0</v>
      </c>
      <c r="F113" s="1">
        <v>0.0</v>
      </c>
      <c r="G113" s="1">
        <v>18.0</v>
      </c>
      <c r="H113" s="1" t="str">
        <f t="shared" si="2"/>
        <v>E023</v>
      </c>
      <c r="I113" s="1" t="s">
        <v>42</v>
      </c>
      <c r="J113" s="1">
        <v>23.0</v>
      </c>
      <c r="K113" s="2">
        <v>3000.0</v>
      </c>
      <c r="L113" s="1">
        <v>32301.0</v>
      </c>
      <c r="M113" s="1" t="str">
        <f>VLOOKUP(L113,'Catálogos'!$A$2:$B$492,2,0)</f>
        <v>Arrendamiento de equipo y bienes informáticos</v>
      </c>
      <c r="N113" s="1">
        <v>1.0</v>
      </c>
      <c r="O113" s="1">
        <v>4.0</v>
      </c>
      <c r="P113" s="1">
        <v>9.0</v>
      </c>
      <c r="Q113" s="1">
        <v>0.0</v>
      </c>
      <c r="R113" s="1">
        <v>1295494.0</v>
      </c>
      <c r="S113" s="1">
        <v>0.0</v>
      </c>
      <c r="T113" s="1">
        <v>0.0</v>
      </c>
      <c r="U113" s="1">
        <v>0.0</v>
      </c>
      <c r="V113" s="1">
        <v>0.0</v>
      </c>
    </row>
    <row r="114" ht="15.75" customHeight="1">
      <c r="A114" s="1">
        <v>12.0</v>
      </c>
      <c r="B114" s="1" t="s">
        <v>22</v>
      </c>
      <c r="C114" s="1">
        <v>2.0</v>
      </c>
      <c r="D114" s="1">
        <v>3.0</v>
      </c>
      <c r="E114" s="1">
        <v>2.0</v>
      </c>
      <c r="F114" s="1">
        <v>0.0</v>
      </c>
      <c r="G114" s="1">
        <v>18.0</v>
      </c>
      <c r="H114" s="1" t="str">
        <f t="shared" si="2"/>
        <v>E023</v>
      </c>
      <c r="I114" s="1" t="s">
        <v>42</v>
      </c>
      <c r="J114" s="1">
        <v>23.0</v>
      </c>
      <c r="K114" s="2">
        <v>3000.0</v>
      </c>
      <c r="L114" s="1">
        <v>32502.0</v>
      </c>
      <c r="M114" s="1" t="str">
        <f>VLOOKUP(L114,'Catálogos'!$A$2:$B$492,2,0)</f>
        <v>Arrendamiento de vehículos terrestres, aéreos, marítimos, lacustres y fluviales para servicios públicos y la operación de programas públicos</v>
      </c>
      <c r="N114" s="1">
        <v>1.0</v>
      </c>
      <c r="O114" s="1">
        <v>1.0</v>
      </c>
      <c r="P114" s="1">
        <v>9.0</v>
      </c>
      <c r="Q114" s="1">
        <v>0.0</v>
      </c>
      <c r="R114" s="1">
        <v>657664.0</v>
      </c>
      <c r="S114" s="1">
        <v>657664.0</v>
      </c>
      <c r="T114" s="1">
        <v>657664.0</v>
      </c>
      <c r="U114" s="1">
        <v>657664.0</v>
      </c>
      <c r="V114" s="1">
        <v>657664.0</v>
      </c>
    </row>
    <row r="115" ht="15.75" customHeight="1">
      <c r="A115" s="1">
        <v>12.0</v>
      </c>
      <c r="B115" s="1" t="s">
        <v>22</v>
      </c>
      <c r="C115" s="1">
        <v>2.0</v>
      </c>
      <c r="D115" s="1">
        <v>3.0</v>
      </c>
      <c r="E115" s="1">
        <v>2.0</v>
      </c>
      <c r="F115" s="1">
        <v>0.0</v>
      </c>
      <c r="G115" s="1">
        <v>18.0</v>
      </c>
      <c r="H115" s="1" t="str">
        <f t="shared" si="2"/>
        <v>E023</v>
      </c>
      <c r="I115" s="1" t="s">
        <v>42</v>
      </c>
      <c r="J115" s="1">
        <v>23.0</v>
      </c>
      <c r="K115" s="2">
        <v>3000.0</v>
      </c>
      <c r="L115" s="1">
        <v>32502.0</v>
      </c>
      <c r="M115" s="1" t="str">
        <f>VLOOKUP(L115,'Catálogos'!$A$2:$B$492,2,0)</f>
        <v>Arrendamiento de vehículos terrestres, aéreos, marítimos, lacustres y fluviales para servicios públicos y la operación de programas públicos</v>
      </c>
      <c r="N115" s="1">
        <v>1.0</v>
      </c>
      <c r="O115" s="1">
        <v>4.0</v>
      </c>
      <c r="P115" s="1">
        <v>9.0</v>
      </c>
      <c r="Q115" s="1">
        <v>0.0</v>
      </c>
      <c r="R115" s="1">
        <v>74880.0</v>
      </c>
      <c r="S115" s="1">
        <v>0.0</v>
      </c>
      <c r="T115" s="1">
        <v>0.0</v>
      </c>
      <c r="U115" s="1">
        <v>0.0</v>
      </c>
      <c r="V115" s="1">
        <v>0.0</v>
      </c>
    </row>
    <row r="116" ht="15.75" customHeight="1">
      <c r="A116" s="1">
        <v>12.0</v>
      </c>
      <c r="B116" s="1" t="s">
        <v>22</v>
      </c>
      <c r="C116" s="1">
        <v>2.0</v>
      </c>
      <c r="D116" s="1">
        <v>3.0</v>
      </c>
      <c r="E116" s="1">
        <v>2.0</v>
      </c>
      <c r="F116" s="1">
        <v>0.0</v>
      </c>
      <c r="G116" s="1">
        <v>18.0</v>
      </c>
      <c r="H116" s="1" t="str">
        <f t="shared" si="2"/>
        <v>E023</v>
      </c>
      <c r="I116" s="1" t="s">
        <v>42</v>
      </c>
      <c r="J116" s="1">
        <v>23.0</v>
      </c>
      <c r="K116" s="2">
        <v>3000.0</v>
      </c>
      <c r="L116" s="1">
        <v>32701.0</v>
      </c>
      <c r="M116" s="1" t="str">
        <f>VLOOKUP(L116,'Catálogos'!$A$2:$B$492,2,0)</f>
        <v>Patentes, derechos de autor, regalías y otros</v>
      </c>
      <c r="N116" s="1">
        <v>1.0</v>
      </c>
      <c r="O116" s="1">
        <v>1.0</v>
      </c>
      <c r="P116" s="1">
        <v>9.0</v>
      </c>
      <c r="Q116" s="1">
        <v>0.0</v>
      </c>
      <c r="R116" s="1">
        <v>532290.0</v>
      </c>
      <c r="S116" s="1">
        <v>0.0</v>
      </c>
      <c r="T116" s="1">
        <v>0.0</v>
      </c>
      <c r="U116" s="1">
        <v>0.0</v>
      </c>
      <c r="V116" s="1">
        <v>0.0</v>
      </c>
    </row>
    <row r="117" ht="15.75" customHeight="1">
      <c r="A117" s="1">
        <v>12.0</v>
      </c>
      <c r="B117" s="1" t="s">
        <v>22</v>
      </c>
      <c r="C117" s="1">
        <v>2.0</v>
      </c>
      <c r="D117" s="1">
        <v>3.0</v>
      </c>
      <c r="E117" s="1">
        <v>2.0</v>
      </c>
      <c r="F117" s="1">
        <v>0.0</v>
      </c>
      <c r="G117" s="1">
        <v>18.0</v>
      </c>
      <c r="H117" s="1" t="str">
        <f t="shared" si="2"/>
        <v>E023</v>
      </c>
      <c r="I117" s="1" t="s">
        <v>42</v>
      </c>
      <c r="J117" s="1">
        <v>23.0</v>
      </c>
      <c r="K117" s="2">
        <v>3000.0</v>
      </c>
      <c r="L117" s="1">
        <v>32701.0</v>
      </c>
      <c r="M117" s="1" t="str">
        <f>VLOOKUP(L117,'Catálogos'!$A$2:$B$492,2,0)</f>
        <v>Patentes, derechos de autor, regalías y otros</v>
      </c>
      <c r="N117" s="1">
        <v>1.0</v>
      </c>
      <c r="O117" s="1">
        <v>4.0</v>
      </c>
      <c r="P117" s="1">
        <v>9.0</v>
      </c>
      <c r="Q117" s="1">
        <v>0.0</v>
      </c>
      <c r="R117" s="1">
        <v>0.0</v>
      </c>
      <c r="S117" s="1">
        <v>187695.0</v>
      </c>
      <c r="T117" s="1">
        <v>187695.0</v>
      </c>
      <c r="U117" s="1">
        <v>187695.0</v>
      </c>
      <c r="V117" s="1">
        <v>187695.0</v>
      </c>
    </row>
    <row r="118" ht="15.75" customHeight="1">
      <c r="A118" s="1">
        <v>12.0</v>
      </c>
      <c r="B118" s="1" t="s">
        <v>22</v>
      </c>
      <c r="C118" s="1">
        <v>2.0</v>
      </c>
      <c r="D118" s="1">
        <v>3.0</v>
      </c>
      <c r="E118" s="1">
        <v>2.0</v>
      </c>
      <c r="F118" s="1">
        <v>0.0</v>
      </c>
      <c r="G118" s="1">
        <v>18.0</v>
      </c>
      <c r="H118" s="1" t="str">
        <f t="shared" si="2"/>
        <v>E023</v>
      </c>
      <c r="I118" s="1" t="s">
        <v>42</v>
      </c>
      <c r="J118" s="1">
        <v>23.0</v>
      </c>
      <c r="K118" s="2">
        <v>3000.0</v>
      </c>
      <c r="L118" s="1">
        <v>33104.0</v>
      </c>
      <c r="M118" s="1" t="str">
        <f>VLOOKUP(L118,'Catálogos'!$A$2:$B$492,2,0)</f>
        <v>Otras asesorías para la operación de programas</v>
      </c>
      <c r="N118" s="1">
        <v>1.0</v>
      </c>
      <c r="O118" s="1">
        <v>4.0</v>
      </c>
      <c r="P118" s="1">
        <v>9.0</v>
      </c>
      <c r="Q118" s="1">
        <v>0.0</v>
      </c>
      <c r="R118" s="1">
        <v>350000.0</v>
      </c>
      <c r="S118" s="1">
        <v>4673447.0</v>
      </c>
      <c r="T118" s="1">
        <v>4349693.0</v>
      </c>
      <c r="U118" s="1">
        <v>4349693.0</v>
      </c>
      <c r="V118" s="1">
        <v>4349693.0</v>
      </c>
    </row>
    <row r="119" ht="15.75" customHeight="1">
      <c r="A119" s="1">
        <v>12.0</v>
      </c>
      <c r="B119" s="1" t="s">
        <v>22</v>
      </c>
      <c r="C119" s="1">
        <v>2.0</v>
      </c>
      <c r="D119" s="1">
        <v>3.0</v>
      </c>
      <c r="E119" s="1">
        <v>2.0</v>
      </c>
      <c r="F119" s="1">
        <v>0.0</v>
      </c>
      <c r="G119" s="1">
        <v>18.0</v>
      </c>
      <c r="H119" s="1" t="str">
        <f t="shared" si="2"/>
        <v>E023</v>
      </c>
      <c r="I119" s="1" t="s">
        <v>42</v>
      </c>
      <c r="J119" s="1">
        <v>23.0</v>
      </c>
      <c r="K119" s="2">
        <v>3000.0</v>
      </c>
      <c r="L119" s="1">
        <v>33201.0</v>
      </c>
      <c r="M119" s="1" t="str">
        <f>VLOOKUP(L119,'Catálogos'!$A$2:$B$492,2,0)</f>
        <v>Servicios de diseño, arquitectura, ingeniería y actividades relacionadas</v>
      </c>
      <c r="N119" s="1">
        <v>1.0</v>
      </c>
      <c r="O119" s="1">
        <v>4.0</v>
      </c>
      <c r="P119" s="1">
        <v>9.0</v>
      </c>
      <c r="Q119" s="1">
        <v>0.0</v>
      </c>
      <c r="R119" s="1">
        <v>0.0</v>
      </c>
      <c r="S119" s="1">
        <v>16124.0</v>
      </c>
      <c r="T119" s="1">
        <v>16124.0</v>
      </c>
      <c r="U119" s="1">
        <v>16124.0</v>
      </c>
      <c r="V119" s="1">
        <v>16124.0</v>
      </c>
    </row>
    <row r="120" ht="15.75" customHeight="1">
      <c r="A120" s="1">
        <v>12.0</v>
      </c>
      <c r="B120" s="1" t="s">
        <v>22</v>
      </c>
      <c r="C120" s="1">
        <v>2.0</v>
      </c>
      <c r="D120" s="1">
        <v>3.0</v>
      </c>
      <c r="E120" s="1">
        <v>2.0</v>
      </c>
      <c r="F120" s="1">
        <v>0.0</v>
      </c>
      <c r="G120" s="1">
        <v>18.0</v>
      </c>
      <c r="H120" s="1" t="str">
        <f t="shared" si="2"/>
        <v>E023</v>
      </c>
      <c r="I120" s="1" t="s">
        <v>42</v>
      </c>
      <c r="J120" s="1">
        <v>23.0</v>
      </c>
      <c r="K120" s="2">
        <v>3000.0</v>
      </c>
      <c r="L120" s="1">
        <v>33301.0</v>
      </c>
      <c r="M120" s="1" t="str">
        <f>VLOOKUP(L120,'Catálogos'!$A$2:$B$492,2,0)</f>
        <v>Servicios de desarrollo de aplicaciones informáticas</v>
      </c>
      <c r="N120" s="1">
        <v>1.0</v>
      </c>
      <c r="O120" s="1">
        <v>1.0</v>
      </c>
      <c r="P120" s="1">
        <v>9.0</v>
      </c>
      <c r="Q120" s="1">
        <v>0.0</v>
      </c>
      <c r="R120" s="1">
        <v>2115653.0</v>
      </c>
      <c r="S120" s="1">
        <v>2122941.0</v>
      </c>
      <c r="T120" s="1">
        <v>2122941.0</v>
      </c>
      <c r="U120" s="1">
        <v>2122941.0</v>
      </c>
      <c r="V120" s="1">
        <v>2122941.0</v>
      </c>
    </row>
    <row r="121" ht="15.75" customHeight="1">
      <c r="A121" s="1">
        <v>12.0</v>
      </c>
      <c r="B121" s="1" t="s">
        <v>22</v>
      </c>
      <c r="C121" s="1">
        <v>2.0</v>
      </c>
      <c r="D121" s="1">
        <v>3.0</v>
      </c>
      <c r="E121" s="1">
        <v>2.0</v>
      </c>
      <c r="F121" s="1">
        <v>0.0</v>
      </c>
      <c r="G121" s="1">
        <v>18.0</v>
      </c>
      <c r="H121" s="1" t="str">
        <f t="shared" si="2"/>
        <v>E023</v>
      </c>
      <c r="I121" s="1" t="s">
        <v>42</v>
      </c>
      <c r="J121" s="1">
        <v>23.0</v>
      </c>
      <c r="K121" s="2">
        <v>3000.0</v>
      </c>
      <c r="L121" s="1">
        <v>33301.0</v>
      </c>
      <c r="M121" s="1" t="str">
        <f>VLOOKUP(L121,'Catálogos'!$A$2:$B$492,2,0)</f>
        <v>Servicios de desarrollo de aplicaciones informáticas</v>
      </c>
      <c r="N121" s="1">
        <v>1.0</v>
      </c>
      <c r="O121" s="1">
        <v>4.0</v>
      </c>
      <c r="P121" s="1">
        <v>9.0</v>
      </c>
      <c r="Q121" s="1">
        <v>0.0</v>
      </c>
      <c r="R121" s="1">
        <v>200000.0</v>
      </c>
      <c r="S121" s="1">
        <v>0.0</v>
      </c>
      <c r="T121" s="1">
        <v>0.0</v>
      </c>
      <c r="U121" s="1">
        <v>0.0</v>
      </c>
      <c r="V121" s="1">
        <v>0.0</v>
      </c>
    </row>
    <row r="122" ht="15.75" customHeight="1">
      <c r="A122" s="1">
        <v>12.0</v>
      </c>
      <c r="B122" s="1" t="s">
        <v>22</v>
      </c>
      <c r="C122" s="1">
        <v>2.0</v>
      </c>
      <c r="D122" s="1">
        <v>3.0</v>
      </c>
      <c r="E122" s="1">
        <v>2.0</v>
      </c>
      <c r="F122" s="1">
        <v>0.0</v>
      </c>
      <c r="G122" s="1">
        <v>18.0</v>
      </c>
      <c r="H122" s="1" t="str">
        <f t="shared" si="2"/>
        <v>E023</v>
      </c>
      <c r="I122" s="1" t="s">
        <v>42</v>
      </c>
      <c r="J122" s="1">
        <v>23.0</v>
      </c>
      <c r="K122" s="2">
        <v>3000.0</v>
      </c>
      <c r="L122" s="1">
        <v>33605.0</v>
      </c>
      <c r="M122" s="1" t="str">
        <f>VLOOKUP(L122,'Catálogos'!$A$2:$B$492,2,0)</f>
        <v>Información en medios masivos derivada de la operación y administración de las dependencias y entidades</v>
      </c>
      <c r="N122" s="1">
        <v>1.0</v>
      </c>
      <c r="O122" s="1">
        <v>4.0</v>
      </c>
      <c r="P122" s="1">
        <v>9.0</v>
      </c>
      <c r="Q122" s="1">
        <v>0.0</v>
      </c>
      <c r="R122" s="1">
        <v>210000.0</v>
      </c>
      <c r="S122" s="1">
        <v>210000.0</v>
      </c>
      <c r="T122" s="1">
        <v>191730.0</v>
      </c>
      <c r="U122" s="1">
        <v>191730.0</v>
      </c>
      <c r="V122" s="1">
        <v>191730.0</v>
      </c>
    </row>
    <row r="123" ht="15.75" customHeight="1">
      <c r="A123" s="1">
        <v>12.0</v>
      </c>
      <c r="B123" s="1" t="s">
        <v>22</v>
      </c>
      <c r="C123" s="1">
        <v>2.0</v>
      </c>
      <c r="D123" s="1">
        <v>3.0</v>
      </c>
      <c r="E123" s="1">
        <v>2.0</v>
      </c>
      <c r="F123" s="1">
        <v>0.0</v>
      </c>
      <c r="G123" s="1">
        <v>18.0</v>
      </c>
      <c r="H123" s="1" t="str">
        <f t="shared" si="2"/>
        <v>E023</v>
      </c>
      <c r="I123" s="1" t="s">
        <v>42</v>
      </c>
      <c r="J123" s="1">
        <v>23.0</v>
      </c>
      <c r="K123" s="2">
        <v>3000.0</v>
      </c>
      <c r="L123" s="1">
        <v>33801.0</v>
      </c>
      <c r="M123" s="1" t="str">
        <f>VLOOKUP(L123,'Catálogos'!$A$2:$B$492,2,0)</f>
        <v>Servicios de vigilancia</v>
      </c>
      <c r="N123" s="1">
        <v>1.0</v>
      </c>
      <c r="O123" s="1">
        <v>1.0</v>
      </c>
      <c r="P123" s="1">
        <v>9.0</v>
      </c>
      <c r="Q123" s="1">
        <v>0.0</v>
      </c>
      <c r="R123" s="1">
        <v>3447066.0</v>
      </c>
      <c r="S123" s="1">
        <v>9793941.0</v>
      </c>
      <c r="T123" s="1">
        <v>9793941.0</v>
      </c>
      <c r="U123" s="1">
        <v>9793941.0</v>
      </c>
      <c r="V123" s="1">
        <v>9793941.0</v>
      </c>
    </row>
    <row r="124" ht="15.75" customHeight="1">
      <c r="A124" s="1">
        <v>12.0</v>
      </c>
      <c r="B124" s="1" t="s">
        <v>22</v>
      </c>
      <c r="C124" s="1">
        <v>2.0</v>
      </c>
      <c r="D124" s="1">
        <v>3.0</v>
      </c>
      <c r="E124" s="1">
        <v>2.0</v>
      </c>
      <c r="F124" s="1">
        <v>0.0</v>
      </c>
      <c r="G124" s="1">
        <v>18.0</v>
      </c>
      <c r="H124" s="1" t="str">
        <f t="shared" si="2"/>
        <v>E023</v>
      </c>
      <c r="I124" s="1" t="s">
        <v>42</v>
      </c>
      <c r="J124" s="1">
        <v>23.0</v>
      </c>
      <c r="K124" s="2">
        <v>3000.0</v>
      </c>
      <c r="L124" s="1">
        <v>33801.0</v>
      </c>
      <c r="M124" s="1" t="str">
        <f>VLOOKUP(L124,'Catálogos'!$A$2:$B$492,2,0)</f>
        <v>Servicios de vigilancia</v>
      </c>
      <c r="N124" s="1">
        <v>1.0</v>
      </c>
      <c r="O124" s="1">
        <v>4.0</v>
      </c>
      <c r="P124" s="1">
        <v>9.0</v>
      </c>
      <c r="Q124" s="1">
        <v>0.0</v>
      </c>
      <c r="R124" s="1">
        <v>340000.0</v>
      </c>
      <c r="S124" s="1">
        <v>0.0</v>
      </c>
      <c r="T124" s="1">
        <v>0.0</v>
      </c>
      <c r="U124" s="1">
        <v>0.0</v>
      </c>
      <c r="V124" s="1">
        <v>0.0</v>
      </c>
    </row>
    <row r="125" ht="15.75" customHeight="1">
      <c r="A125" s="1">
        <v>12.0</v>
      </c>
      <c r="B125" s="1" t="s">
        <v>22</v>
      </c>
      <c r="C125" s="1">
        <v>2.0</v>
      </c>
      <c r="D125" s="1">
        <v>3.0</v>
      </c>
      <c r="E125" s="1">
        <v>2.0</v>
      </c>
      <c r="F125" s="1">
        <v>0.0</v>
      </c>
      <c r="G125" s="1">
        <v>18.0</v>
      </c>
      <c r="H125" s="1" t="str">
        <f t="shared" si="2"/>
        <v>E023</v>
      </c>
      <c r="I125" s="1" t="s">
        <v>42</v>
      </c>
      <c r="J125" s="1">
        <v>23.0</v>
      </c>
      <c r="K125" s="2">
        <v>3000.0</v>
      </c>
      <c r="L125" s="1">
        <v>33901.0</v>
      </c>
      <c r="M125" s="1" t="str">
        <f>VLOOKUP(L125,'Catálogos'!$A$2:$B$492,2,0)</f>
        <v>Subcontratación de servicios con terceros</v>
      </c>
      <c r="N125" s="1">
        <v>1.0</v>
      </c>
      <c r="O125" s="1">
        <v>1.0</v>
      </c>
      <c r="P125" s="1">
        <v>9.0</v>
      </c>
      <c r="Q125" s="1">
        <v>0.0</v>
      </c>
      <c r="R125" s="1">
        <v>1.7473773E7</v>
      </c>
      <c r="S125" s="1">
        <v>4.2577965E7</v>
      </c>
      <c r="T125" s="1">
        <v>4.2577965E7</v>
      </c>
      <c r="U125" s="1">
        <v>4.2577965E7</v>
      </c>
      <c r="V125" s="1">
        <v>4.2577965E7</v>
      </c>
    </row>
    <row r="126" ht="15.75" customHeight="1">
      <c r="A126" s="1">
        <v>12.0</v>
      </c>
      <c r="B126" s="1" t="s">
        <v>22</v>
      </c>
      <c r="C126" s="1">
        <v>2.0</v>
      </c>
      <c r="D126" s="1">
        <v>3.0</v>
      </c>
      <c r="E126" s="1">
        <v>2.0</v>
      </c>
      <c r="F126" s="1">
        <v>0.0</v>
      </c>
      <c r="G126" s="1">
        <v>18.0</v>
      </c>
      <c r="H126" s="1" t="str">
        <f t="shared" si="2"/>
        <v>E023</v>
      </c>
      <c r="I126" s="1" t="s">
        <v>42</v>
      </c>
      <c r="J126" s="1">
        <v>23.0</v>
      </c>
      <c r="K126" s="2">
        <v>3000.0</v>
      </c>
      <c r="L126" s="1">
        <v>33901.0</v>
      </c>
      <c r="M126" s="1" t="str">
        <f>VLOOKUP(L126,'Catálogos'!$A$2:$B$492,2,0)</f>
        <v>Subcontratación de servicios con terceros</v>
      </c>
      <c r="N126" s="1">
        <v>1.0</v>
      </c>
      <c r="O126" s="1">
        <v>4.0</v>
      </c>
      <c r="P126" s="1">
        <v>9.0</v>
      </c>
      <c r="Q126" s="1">
        <v>0.0</v>
      </c>
      <c r="R126" s="1">
        <v>245000.0</v>
      </c>
      <c r="S126" s="1">
        <v>546790.0</v>
      </c>
      <c r="T126" s="1">
        <v>173256.0</v>
      </c>
      <c r="U126" s="1">
        <v>173256.0</v>
      </c>
      <c r="V126" s="1">
        <v>173256.0</v>
      </c>
    </row>
    <row r="127" ht="15.75" customHeight="1">
      <c r="A127" s="1">
        <v>12.0</v>
      </c>
      <c r="B127" s="1" t="s">
        <v>22</v>
      </c>
      <c r="C127" s="1">
        <v>2.0</v>
      </c>
      <c r="D127" s="1">
        <v>3.0</v>
      </c>
      <c r="E127" s="1">
        <v>2.0</v>
      </c>
      <c r="F127" s="1">
        <v>0.0</v>
      </c>
      <c r="G127" s="1">
        <v>18.0</v>
      </c>
      <c r="H127" s="1" t="str">
        <f t="shared" si="2"/>
        <v>E023</v>
      </c>
      <c r="I127" s="1" t="s">
        <v>42</v>
      </c>
      <c r="J127" s="1">
        <v>23.0</v>
      </c>
      <c r="K127" s="2">
        <v>3000.0</v>
      </c>
      <c r="L127" s="1">
        <v>33903.0</v>
      </c>
      <c r="M127" s="1" t="str">
        <f>VLOOKUP(L127,'Catálogos'!$A$2:$B$492,2,0)</f>
        <v>Servicios integrales</v>
      </c>
      <c r="N127" s="1">
        <v>1.0</v>
      </c>
      <c r="O127" s="1">
        <v>1.0</v>
      </c>
      <c r="P127" s="1">
        <v>9.0</v>
      </c>
      <c r="Q127" s="1">
        <v>0.0</v>
      </c>
      <c r="R127" s="1">
        <v>1.67342547E8</v>
      </c>
      <c r="S127" s="1">
        <v>8.2893744E7</v>
      </c>
      <c r="T127" s="1">
        <v>8.2893744E7</v>
      </c>
      <c r="U127" s="1">
        <v>8.2893744E7</v>
      </c>
      <c r="V127" s="1">
        <v>8.2893744E7</v>
      </c>
    </row>
    <row r="128" ht="15.75" customHeight="1">
      <c r="A128" s="1">
        <v>12.0</v>
      </c>
      <c r="B128" s="1" t="s">
        <v>22</v>
      </c>
      <c r="C128" s="1">
        <v>2.0</v>
      </c>
      <c r="D128" s="1">
        <v>3.0</v>
      </c>
      <c r="E128" s="1">
        <v>2.0</v>
      </c>
      <c r="F128" s="1">
        <v>0.0</v>
      </c>
      <c r="G128" s="1">
        <v>18.0</v>
      </c>
      <c r="H128" s="1" t="str">
        <f t="shared" si="2"/>
        <v>E023</v>
      </c>
      <c r="I128" s="1" t="s">
        <v>42</v>
      </c>
      <c r="J128" s="1">
        <v>23.0</v>
      </c>
      <c r="K128" s="2">
        <v>3000.0</v>
      </c>
      <c r="L128" s="1">
        <v>33903.0</v>
      </c>
      <c r="M128" s="1" t="str">
        <f>VLOOKUP(L128,'Catálogos'!$A$2:$B$492,2,0)</f>
        <v>Servicios integrales</v>
      </c>
      <c r="N128" s="1">
        <v>1.0</v>
      </c>
      <c r="O128" s="1">
        <v>4.0</v>
      </c>
      <c r="P128" s="1">
        <v>9.0</v>
      </c>
      <c r="Q128" s="1">
        <v>0.0</v>
      </c>
      <c r="R128" s="1">
        <v>160000.0</v>
      </c>
      <c r="S128" s="1">
        <v>3604265.0</v>
      </c>
      <c r="T128" s="1">
        <v>3205903.0</v>
      </c>
      <c r="U128" s="1">
        <v>3205903.0</v>
      </c>
      <c r="V128" s="1">
        <v>3205903.0</v>
      </c>
    </row>
    <row r="129" ht="15.75" customHeight="1">
      <c r="A129" s="1">
        <v>12.0</v>
      </c>
      <c r="B129" s="1" t="s">
        <v>22</v>
      </c>
      <c r="C129" s="1">
        <v>2.0</v>
      </c>
      <c r="D129" s="1">
        <v>3.0</v>
      </c>
      <c r="E129" s="1">
        <v>2.0</v>
      </c>
      <c r="F129" s="1">
        <v>0.0</v>
      </c>
      <c r="G129" s="1">
        <v>18.0</v>
      </c>
      <c r="H129" s="1" t="str">
        <f t="shared" si="2"/>
        <v>E023</v>
      </c>
      <c r="I129" s="1" t="s">
        <v>42</v>
      </c>
      <c r="J129" s="1">
        <v>23.0</v>
      </c>
      <c r="K129" s="2">
        <v>3000.0</v>
      </c>
      <c r="L129" s="1">
        <v>34101.0</v>
      </c>
      <c r="M129" s="1" t="str">
        <f>VLOOKUP(L129,'Catálogos'!$A$2:$B$492,2,0)</f>
        <v>Servicios bancarios y financieros</v>
      </c>
      <c r="N129" s="1">
        <v>1.0</v>
      </c>
      <c r="O129" s="1">
        <v>4.0</v>
      </c>
      <c r="P129" s="1">
        <v>9.0</v>
      </c>
      <c r="Q129" s="1">
        <v>0.0</v>
      </c>
      <c r="R129" s="1">
        <v>130000.0</v>
      </c>
      <c r="S129" s="1">
        <v>130000.0</v>
      </c>
      <c r="T129" s="1">
        <v>129506.0</v>
      </c>
      <c r="U129" s="1">
        <v>129506.0</v>
      </c>
      <c r="V129" s="1">
        <v>129506.0</v>
      </c>
    </row>
    <row r="130" ht="15.75" customHeight="1">
      <c r="A130" s="1">
        <v>12.0</v>
      </c>
      <c r="B130" s="1" t="s">
        <v>22</v>
      </c>
      <c r="C130" s="1">
        <v>2.0</v>
      </c>
      <c r="D130" s="1">
        <v>3.0</v>
      </c>
      <c r="E130" s="1">
        <v>2.0</v>
      </c>
      <c r="F130" s="1">
        <v>0.0</v>
      </c>
      <c r="G130" s="1">
        <v>18.0</v>
      </c>
      <c r="H130" s="1" t="str">
        <f t="shared" si="2"/>
        <v>E023</v>
      </c>
      <c r="I130" s="1" t="s">
        <v>42</v>
      </c>
      <c r="J130" s="1">
        <v>23.0</v>
      </c>
      <c r="K130" s="2">
        <v>3000.0</v>
      </c>
      <c r="L130" s="1">
        <v>34401.0</v>
      </c>
      <c r="M130" s="1" t="str">
        <f>VLOOKUP(L130,'Catálogos'!$A$2:$B$492,2,0)</f>
        <v>Seguro de responsabilidad patrimonial del Estado</v>
      </c>
      <c r="N130" s="1">
        <v>1.0</v>
      </c>
      <c r="O130" s="1">
        <v>4.0</v>
      </c>
      <c r="P130" s="1">
        <v>9.0</v>
      </c>
      <c r="Q130" s="1">
        <v>0.0</v>
      </c>
      <c r="R130" s="1">
        <v>0.0</v>
      </c>
      <c r="S130" s="1">
        <v>64057.0</v>
      </c>
      <c r="T130" s="1">
        <v>64056.0</v>
      </c>
      <c r="U130" s="1">
        <v>64056.0</v>
      </c>
      <c r="V130" s="1">
        <v>64056.0</v>
      </c>
    </row>
    <row r="131" ht="15.75" customHeight="1">
      <c r="A131" s="1">
        <v>12.0</v>
      </c>
      <c r="B131" s="1" t="s">
        <v>22</v>
      </c>
      <c r="C131" s="1">
        <v>2.0</v>
      </c>
      <c r="D131" s="1">
        <v>3.0</v>
      </c>
      <c r="E131" s="1">
        <v>2.0</v>
      </c>
      <c r="F131" s="1">
        <v>0.0</v>
      </c>
      <c r="G131" s="1">
        <v>18.0</v>
      </c>
      <c r="H131" s="1" t="str">
        <f t="shared" si="2"/>
        <v>E023</v>
      </c>
      <c r="I131" s="1" t="s">
        <v>42</v>
      </c>
      <c r="J131" s="1">
        <v>23.0</v>
      </c>
      <c r="K131" s="2">
        <v>3000.0</v>
      </c>
      <c r="L131" s="1">
        <v>34501.0</v>
      </c>
      <c r="M131" s="1" t="str">
        <f>VLOOKUP(L131,'Catálogos'!$A$2:$B$492,2,0)</f>
        <v>Seguros de bienes patrimoniales</v>
      </c>
      <c r="N131" s="1">
        <v>1.0</v>
      </c>
      <c r="O131" s="1">
        <v>1.0</v>
      </c>
      <c r="P131" s="1">
        <v>9.0</v>
      </c>
      <c r="Q131" s="1">
        <v>0.0</v>
      </c>
      <c r="R131" s="1">
        <v>2996569.0</v>
      </c>
      <c r="S131" s="1">
        <v>1088296.0</v>
      </c>
      <c r="T131" s="1">
        <v>1088296.0</v>
      </c>
      <c r="U131" s="1">
        <v>1088296.0</v>
      </c>
      <c r="V131" s="1">
        <v>1088296.0</v>
      </c>
    </row>
    <row r="132" ht="15.75" customHeight="1">
      <c r="A132" s="1">
        <v>12.0</v>
      </c>
      <c r="B132" s="1" t="s">
        <v>22</v>
      </c>
      <c r="C132" s="1">
        <v>2.0</v>
      </c>
      <c r="D132" s="1">
        <v>3.0</v>
      </c>
      <c r="E132" s="1">
        <v>2.0</v>
      </c>
      <c r="F132" s="1">
        <v>0.0</v>
      </c>
      <c r="G132" s="1">
        <v>18.0</v>
      </c>
      <c r="H132" s="1" t="str">
        <f t="shared" si="2"/>
        <v>E023</v>
      </c>
      <c r="I132" s="1" t="s">
        <v>42</v>
      </c>
      <c r="J132" s="1">
        <v>23.0</v>
      </c>
      <c r="K132" s="2">
        <v>3000.0</v>
      </c>
      <c r="L132" s="1">
        <v>35102.0</v>
      </c>
      <c r="M132" s="1" t="str">
        <f>VLOOKUP(L132,'Catálogos'!$A$2:$B$492,2,0)</f>
        <v>Mantenimiento y conservación de inmuebles para la prestación de servicios públicos</v>
      </c>
      <c r="N132" s="1">
        <v>1.0</v>
      </c>
      <c r="O132" s="1">
        <v>1.0</v>
      </c>
      <c r="P132" s="1">
        <v>9.0</v>
      </c>
      <c r="Q132" s="1">
        <v>0.0</v>
      </c>
      <c r="R132" s="1">
        <v>441233.0</v>
      </c>
      <c r="S132" s="1">
        <v>605860.0</v>
      </c>
      <c r="T132" s="1">
        <v>605860.0</v>
      </c>
      <c r="U132" s="1">
        <v>605860.0</v>
      </c>
      <c r="V132" s="1">
        <v>605860.0</v>
      </c>
    </row>
    <row r="133" ht="15.75" customHeight="1">
      <c r="A133" s="1">
        <v>12.0</v>
      </c>
      <c r="B133" s="1" t="s">
        <v>22</v>
      </c>
      <c r="C133" s="1">
        <v>2.0</v>
      </c>
      <c r="D133" s="1">
        <v>3.0</v>
      </c>
      <c r="E133" s="1">
        <v>2.0</v>
      </c>
      <c r="F133" s="1">
        <v>0.0</v>
      </c>
      <c r="G133" s="1">
        <v>18.0</v>
      </c>
      <c r="H133" s="1" t="str">
        <f t="shared" si="2"/>
        <v>E023</v>
      </c>
      <c r="I133" s="1" t="s">
        <v>42</v>
      </c>
      <c r="J133" s="1">
        <v>23.0</v>
      </c>
      <c r="K133" s="2">
        <v>3000.0</v>
      </c>
      <c r="L133" s="1">
        <v>35102.0</v>
      </c>
      <c r="M133" s="1" t="str">
        <f>VLOOKUP(L133,'Catálogos'!$A$2:$B$492,2,0)</f>
        <v>Mantenimiento y conservación de inmuebles para la prestación de servicios públicos</v>
      </c>
      <c r="N133" s="1">
        <v>1.0</v>
      </c>
      <c r="O133" s="1">
        <v>4.0</v>
      </c>
      <c r="P133" s="1">
        <v>9.0</v>
      </c>
      <c r="Q133" s="1">
        <v>0.0</v>
      </c>
      <c r="R133" s="1">
        <v>208000.0</v>
      </c>
      <c r="S133" s="1">
        <v>0.0</v>
      </c>
      <c r="T133" s="1">
        <v>0.0</v>
      </c>
      <c r="U133" s="1">
        <v>0.0</v>
      </c>
      <c r="V133" s="1">
        <v>0.0</v>
      </c>
    </row>
    <row r="134" ht="15.75" customHeight="1">
      <c r="A134" s="1">
        <v>12.0</v>
      </c>
      <c r="B134" s="1" t="s">
        <v>22</v>
      </c>
      <c r="C134" s="1">
        <v>2.0</v>
      </c>
      <c r="D134" s="1">
        <v>3.0</v>
      </c>
      <c r="E134" s="1">
        <v>2.0</v>
      </c>
      <c r="F134" s="1">
        <v>0.0</v>
      </c>
      <c r="G134" s="1">
        <v>18.0</v>
      </c>
      <c r="H134" s="1" t="str">
        <f t="shared" si="2"/>
        <v>E023</v>
      </c>
      <c r="I134" s="1" t="s">
        <v>42</v>
      </c>
      <c r="J134" s="1">
        <v>23.0</v>
      </c>
      <c r="K134" s="2">
        <v>3000.0</v>
      </c>
      <c r="L134" s="1">
        <v>35201.0</v>
      </c>
      <c r="M134" s="1" t="str">
        <f>VLOOKUP(L134,'Catálogos'!$A$2:$B$492,2,0)</f>
        <v>Mantenimiento y conservación de mobiliario y equipo de administración</v>
      </c>
      <c r="N134" s="1">
        <v>1.0</v>
      </c>
      <c r="O134" s="1">
        <v>1.0</v>
      </c>
      <c r="P134" s="1">
        <v>9.0</v>
      </c>
      <c r="Q134" s="1">
        <v>0.0</v>
      </c>
      <c r="R134" s="1">
        <v>408282.0</v>
      </c>
      <c r="S134" s="1">
        <v>885859.0</v>
      </c>
      <c r="T134" s="1">
        <v>885859.0</v>
      </c>
      <c r="U134" s="1">
        <v>885859.0</v>
      </c>
      <c r="V134" s="1">
        <v>885859.0</v>
      </c>
    </row>
    <row r="135" ht="15.75" customHeight="1">
      <c r="A135" s="1">
        <v>12.0</v>
      </c>
      <c r="B135" s="1" t="s">
        <v>22</v>
      </c>
      <c r="C135" s="1">
        <v>2.0</v>
      </c>
      <c r="D135" s="1">
        <v>3.0</v>
      </c>
      <c r="E135" s="1">
        <v>2.0</v>
      </c>
      <c r="F135" s="1">
        <v>0.0</v>
      </c>
      <c r="G135" s="1">
        <v>18.0</v>
      </c>
      <c r="H135" s="1" t="str">
        <f t="shared" si="2"/>
        <v>E023</v>
      </c>
      <c r="I135" s="1" t="s">
        <v>42</v>
      </c>
      <c r="J135" s="1">
        <v>23.0</v>
      </c>
      <c r="K135" s="2">
        <v>3000.0</v>
      </c>
      <c r="L135" s="1">
        <v>35201.0</v>
      </c>
      <c r="M135" s="1" t="str">
        <f>VLOOKUP(L135,'Catálogos'!$A$2:$B$492,2,0)</f>
        <v>Mantenimiento y conservación de mobiliario y equipo de administración</v>
      </c>
      <c r="N135" s="1">
        <v>1.0</v>
      </c>
      <c r="O135" s="1">
        <v>4.0</v>
      </c>
      <c r="P135" s="1">
        <v>9.0</v>
      </c>
      <c r="Q135" s="1">
        <v>0.0</v>
      </c>
      <c r="R135" s="1">
        <v>52000.0</v>
      </c>
      <c r="S135" s="1">
        <v>52000.0</v>
      </c>
      <c r="T135" s="1">
        <v>7150.0</v>
      </c>
      <c r="U135" s="1">
        <v>7150.0</v>
      </c>
      <c r="V135" s="1">
        <v>7150.0</v>
      </c>
    </row>
    <row r="136" ht="15.75" customHeight="1">
      <c r="A136" s="1">
        <v>12.0</v>
      </c>
      <c r="B136" s="1" t="s">
        <v>22</v>
      </c>
      <c r="C136" s="1">
        <v>2.0</v>
      </c>
      <c r="D136" s="1">
        <v>3.0</v>
      </c>
      <c r="E136" s="1">
        <v>2.0</v>
      </c>
      <c r="F136" s="1">
        <v>0.0</v>
      </c>
      <c r="G136" s="1">
        <v>18.0</v>
      </c>
      <c r="H136" s="1" t="str">
        <f t="shared" si="2"/>
        <v>E023</v>
      </c>
      <c r="I136" s="1" t="s">
        <v>42</v>
      </c>
      <c r="J136" s="1">
        <v>23.0</v>
      </c>
      <c r="K136" s="2">
        <v>3000.0</v>
      </c>
      <c r="L136" s="1">
        <v>35301.0</v>
      </c>
      <c r="M136" s="1" t="str">
        <f>VLOOKUP(L136,'Catálogos'!$A$2:$B$492,2,0)</f>
        <v>Mantenimiento y conservación de bienes informáticos</v>
      </c>
      <c r="N136" s="1">
        <v>1.0</v>
      </c>
      <c r="O136" s="1">
        <v>1.0</v>
      </c>
      <c r="P136" s="1">
        <v>9.0</v>
      </c>
      <c r="Q136" s="1">
        <v>0.0</v>
      </c>
      <c r="R136" s="1">
        <v>0.0</v>
      </c>
      <c r="S136" s="1">
        <v>32266.0</v>
      </c>
      <c r="T136" s="1">
        <v>32266.0</v>
      </c>
      <c r="U136" s="1">
        <v>32266.0</v>
      </c>
      <c r="V136" s="1">
        <v>32266.0</v>
      </c>
    </row>
    <row r="137" ht="15.75" customHeight="1">
      <c r="A137" s="1">
        <v>12.0</v>
      </c>
      <c r="B137" s="1" t="s">
        <v>22</v>
      </c>
      <c r="C137" s="1">
        <v>2.0</v>
      </c>
      <c r="D137" s="1">
        <v>3.0</v>
      </c>
      <c r="E137" s="1">
        <v>2.0</v>
      </c>
      <c r="F137" s="1">
        <v>0.0</v>
      </c>
      <c r="G137" s="1">
        <v>18.0</v>
      </c>
      <c r="H137" s="1" t="str">
        <f t="shared" si="2"/>
        <v>E023</v>
      </c>
      <c r="I137" s="1" t="s">
        <v>42</v>
      </c>
      <c r="J137" s="1">
        <v>23.0</v>
      </c>
      <c r="K137" s="2">
        <v>3000.0</v>
      </c>
      <c r="L137" s="1">
        <v>35401.0</v>
      </c>
      <c r="M137" s="1" t="str">
        <f>VLOOKUP(L137,'Catálogos'!$A$2:$B$492,2,0)</f>
        <v>Instalación, reparación y mantenimiento de equipo e instrumental médico y de laboratorio</v>
      </c>
      <c r="N137" s="1">
        <v>1.0</v>
      </c>
      <c r="O137" s="1">
        <v>1.0</v>
      </c>
      <c r="P137" s="1">
        <v>9.0</v>
      </c>
      <c r="Q137" s="1">
        <v>0.0</v>
      </c>
      <c r="R137" s="1">
        <v>53225.0</v>
      </c>
      <c r="S137" s="1">
        <v>1.0026021E7</v>
      </c>
      <c r="T137" s="1">
        <v>1.0026021E7</v>
      </c>
      <c r="U137" s="1">
        <v>1.0026021E7</v>
      </c>
      <c r="V137" s="1">
        <v>1.0026021E7</v>
      </c>
    </row>
    <row r="138" ht="15.75" customHeight="1">
      <c r="A138" s="1">
        <v>12.0</v>
      </c>
      <c r="B138" s="1" t="s">
        <v>22</v>
      </c>
      <c r="C138" s="1">
        <v>2.0</v>
      </c>
      <c r="D138" s="1">
        <v>3.0</v>
      </c>
      <c r="E138" s="1">
        <v>2.0</v>
      </c>
      <c r="F138" s="1">
        <v>0.0</v>
      </c>
      <c r="G138" s="1">
        <v>18.0</v>
      </c>
      <c r="H138" s="1" t="str">
        <f t="shared" si="2"/>
        <v>E023</v>
      </c>
      <c r="I138" s="1" t="s">
        <v>42</v>
      </c>
      <c r="J138" s="1">
        <v>23.0</v>
      </c>
      <c r="K138" s="2">
        <v>3000.0</v>
      </c>
      <c r="L138" s="1">
        <v>35401.0</v>
      </c>
      <c r="M138" s="1" t="str">
        <f>VLOOKUP(L138,'Catálogos'!$A$2:$B$492,2,0)</f>
        <v>Instalación, reparación y mantenimiento de equipo e instrumental médico y de laboratorio</v>
      </c>
      <c r="N138" s="1">
        <v>1.0</v>
      </c>
      <c r="O138" s="1">
        <v>4.0</v>
      </c>
      <c r="P138" s="1">
        <v>9.0</v>
      </c>
      <c r="Q138" s="1">
        <v>0.0</v>
      </c>
      <c r="R138" s="1">
        <v>1000000.0</v>
      </c>
      <c r="S138" s="1">
        <v>84346.0</v>
      </c>
      <c r="T138" s="1">
        <v>61521.0</v>
      </c>
      <c r="U138" s="1">
        <v>61521.0</v>
      </c>
      <c r="V138" s="1">
        <v>61521.0</v>
      </c>
    </row>
    <row r="139" ht="15.75" customHeight="1">
      <c r="A139" s="1">
        <v>12.0</v>
      </c>
      <c r="B139" s="1" t="s">
        <v>22</v>
      </c>
      <c r="C139" s="1">
        <v>2.0</v>
      </c>
      <c r="D139" s="1">
        <v>3.0</v>
      </c>
      <c r="E139" s="1">
        <v>2.0</v>
      </c>
      <c r="F139" s="1">
        <v>0.0</v>
      </c>
      <c r="G139" s="1">
        <v>18.0</v>
      </c>
      <c r="H139" s="1" t="str">
        <f t="shared" si="2"/>
        <v>E023</v>
      </c>
      <c r="I139" s="1" t="s">
        <v>42</v>
      </c>
      <c r="J139" s="1">
        <v>23.0</v>
      </c>
      <c r="K139" s="2">
        <v>3000.0</v>
      </c>
      <c r="L139" s="1">
        <v>35501.0</v>
      </c>
      <c r="M139" s="1" t="str">
        <f>VLOOKUP(L139,'Catálogos'!$A$2:$B$492,2,0)</f>
        <v>Mantenimiento y conservación de vehículos terrestres, aéreos, marítimos, lacustres y fluviales</v>
      </c>
      <c r="N139" s="1">
        <v>1.0</v>
      </c>
      <c r="O139" s="1">
        <v>4.0</v>
      </c>
      <c r="P139" s="1">
        <v>9.0</v>
      </c>
      <c r="Q139" s="1">
        <v>0.0</v>
      </c>
      <c r="R139" s="1">
        <v>15000.0</v>
      </c>
      <c r="S139" s="1">
        <v>29886.0</v>
      </c>
      <c r="T139" s="1">
        <v>29885.0</v>
      </c>
      <c r="U139" s="1">
        <v>29885.0</v>
      </c>
      <c r="V139" s="1">
        <v>29885.0</v>
      </c>
    </row>
    <row r="140" ht="15.75" customHeight="1">
      <c r="A140" s="1">
        <v>12.0</v>
      </c>
      <c r="B140" s="1" t="s">
        <v>22</v>
      </c>
      <c r="C140" s="1">
        <v>2.0</v>
      </c>
      <c r="D140" s="1">
        <v>3.0</v>
      </c>
      <c r="E140" s="1">
        <v>2.0</v>
      </c>
      <c r="F140" s="1">
        <v>0.0</v>
      </c>
      <c r="G140" s="1">
        <v>18.0</v>
      </c>
      <c r="H140" s="1" t="str">
        <f t="shared" si="2"/>
        <v>E023</v>
      </c>
      <c r="I140" s="1" t="s">
        <v>42</v>
      </c>
      <c r="J140" s="1">
        <v>23.0</v>
      </c>
      <c r="K140" s="2">
        <v>3000.0</v>
      </c>
      <c r="L140" s="1">
        <v>35701.0</v>
      </c>
      <c r="M140" s="1" t="str">
        <f>VLOOKUP(L140,'Catálogos'!$A$2:$B$492,2,0)</f>
        <v>Mantenimiento y conservación de maquinaria y equipo</v>
      </c>
      <c r="N140" s="1">
        <v>1.0</v>
      </c>
      <c r="O140" s="1">
        <v>1.0</v>
      </c>
      <c r="P140" s="1">
        <v>9.0</v>
      </c>
      <c r="Q140" s="1">
        <v>0.0</v>
      </c>
      <c r="R140" s="1">
        <v>1253026.0</v>
      </c>
      <c r="S140" s="1">
        <v>1998351.0</v>
      </c>
      <c r="T140" s="1">
        <v>1998351.0</v>
      </c>
      <c r="U140" s="1">
        <v>1998351.0</v>
      </c>
      <c r="V140" s="1">
        <v>1998351.0</v>
      </c>
    </row>
    <row r="141" ht="15.75" customHeight="1">
      <c r="A141" s="1">
        <v>12.0</v>
      </c>
      <c r="B141" s="1" t="s">
        <v>22</v>
      </c>
      <c r="C141" s="1">
        <v>2.0</v>
      </c>
      <c r="D141" s="1">
        <v>3.0</v>
      </c>
      <c r="E141" s="1">
        <v>2.0</v>
      </c>
      <c r="F141" s="1">
        <v>0.0</v>
      </c>
      <c r="G141" s="1">
        <v>18.0</v>
      </c>
      <c r="H141" s="1" t="str">
        <f t="shared" si="2"/>
        <v>E023</v>
      </c>
      <c r="I141" s="1" t="s">
        <v>42</v>
      </c>
      <c r="J141" s="1">
        <v>23.0</v>
      </c>
      <c r="K141" s="2">
        <v>3000.0</v>
      </c>
      <c r="L141" s="1">
        <v>35701.0</v>
      </c>
      <c r="M141" s="1" t="str">
        <f>VLOOKUP(L141,'Catálogos'!$A$2:$B$492,2,0)</f>
        <v>Mantenimiento y conservación de maquinaria y equipo</v>
      </c>
      <c r="N141" s="1">
        <v>1.0</v>
      </c>
      <c r="O141" s="1">
        <v>4.0</v>
      </c>
      <c r="P141" s="1">
        <v>9.0</v>
      </c>
      <c r="Q141" s="1">
        <v>0.0</v>
      </c>
      <c r="R141" s="1">
        <v>0.0</v>
      </c>
      <c r="S141" s="1">
        <v>23606.0</v>
      </c>
      <c r="T141" s="1">
        <v>23606.0</v>
      </c>
      <c r="U141" s="1">
        <v>23606.0</v>
      </c>
      <c r="V141" s="1">
        <v>23606.0</v>
      </c>
    </row>
    <row r="142" ht="15.75" customHeight="1">
      <c r="A142" s="1">
        <v>12.0</v>
      </c>
      <c r="B142" s="1" t="s">
        <v>22</v>
      </c>
      <c r="C142" s="1">
        <v>2.0</v>
      </c>
      <c r="D142" s="1">
        <v>3.0</v>
      </c>
      <c r="E142" s="1">
        <v>2.0</v>
      </c>
      <c r="F142" s="1">
        <v>0.0</v>
      </c>
      <c r="G142" s="1">
        <v>18.0</v>
      </c>
      <c r="H142" s="1" t="str">
        <f t="shared" si="2"/>
        <v>E023</v>
      </c>
      <c r="I142" s="1" t="s">
        <v>42</v>
      </c>
      <c r="J142" s="1">
        <v>23.0</v>
      </c>
      <c r="K142" s="2">
        <v>3000.0</v>
      </c>
      <c r="L142" s="1">
        <v>35801.0</v>
      </c>
      <c r="M142" s="1" t="str">
        <f>VLOOKUP(L142,'Catálogos'!$A$2:$B$492,2,0)</f>
        <v>Servicios de lavandería, limpieza e higiene</v>
      </c>
      <c r="N142" s="1">
        <v>1.0</v>
      </c>
      <c r="O142" s="1">
        <v>1.0</v>
      </c>
      <c r="P142" s="1">
        <v>9.0</v>
      </c>
      <c r="Q142" s="1">
        <v>0.0</v>
      </c>
      <c r="R142" s="1">
        <v>6573106.0</v>
      </c>
      <c r="S142" s="1">
        <v>1.1131309E7</v>
      </c>
      <c r="T142" s="1">
        <v>1.1131309E7</v>
      </c>
      <c r="U142" s="1">
        <v>1.1131309E7</v>
      </c>
      <c r="V142" s="1">
        <v>1.1131309E7</v>
      </c>
    </row>
    <row r="143" ht="15.75" customHeight="1">
      <c r="A143" s="1">
        <v>12.0</v>
      </c>
      <c r="B143" s="1" t="s">
        <v>22</v>
      </c>
      <c r="C143" s="1">
        <v>2.0</v>
      </c>
      <c r="D143" s="1">
        <v>3.0</v>
      </c>
      <c r="E143" s="1">
        <v>2.0</v>
      </c>
      <c r="F143" s="1">
        <v>0.0</v>
      </c>
      <c r="G143" s="1">
        <v>18.0</v>
      </c>
      <c r="H143" s="1" t="str">
        <f t="shared" si="2"/>
        <v>E023</v>
      </c>
      <c r="I143" s="1" t="s">
        <v>42</v>
      </c>
      <c r="J143" s="1">
        <v>23.0</v>
      </c>
      <c r="K143" s="2">
        <v>3000.0</v>
      </c>
      <c r="L143" s="1">
        <v>35801.0</v>
      </c>
      <c r="M143" s="1" t="str">
        <f>VLOOKUP(L143,'Catálogos'!$A$2:$B$492,2,0)</f>
        <v>Servicios de lavandería, limpieza e higiene</v>
      </c>
      <c r="N143" s="1">
        <v>1.0</v>
      </c>
      <c r="O143" s="1">
        <v>4.0</v>
      </c>
      <c r="P143" s="1">
        <v>9.0</v>
      </c>
      <c r="Q143" s="1">
        <v>0.0</v>
      </c>
      <c r="R143" s="1">
        <v>1096000.0</v>
      </c>
      <c r="S143" s="1">
        <v>0.0</v>
      </c>
      <c r="T143" s="1">
        <v>0.0</v>
      </c>
      <c r="U143" s="1">
        <v>0.0</v>
      </c>
      <c r="V143" s="1">
        <v>0.0</v>
      </c>
    </row>
    <row r="144" ht="15.75" customHeight="1">
      <c r="A144" s="1">
        <v>12.0</v>
      </c>
      <c r="B144" s="1" t="s">
        <v>22</v>
      </c>
      <c r="C144" s="1">
        <v>2.0</v>
      </c>
      <c r="D144" s="1">
        <v>3.0</v>
      </c>
      <c r="E144" s="1">
        <v>2.0</v>
      </c>
      <c r="F144" s="1">
        <v>0.0</v>
      </c>
      <c r="G144" s="1">
        <v>18.0</v>
      </c>
      <c r="H144" s="1" t="str">
        <f t="shared" si="2"/>
        <v>E023</v>
      </c>
      <c r="I144" s="1" t="s">
        <v>42</v>
      </c>
      <c r="J144" s="1">
        <v>23.0</v>
      </c>
      <c r="K144" s="2">
        <v>3000.0</v>
      </c>
      <c r="L144" s="1">
        <v>35901.0</v>
      </c>
      <c r="M144" s="1" t="str">
        <f>VLOOKUP(L144,'Catálogos'!$A$2:$B$492,2,0)</f>
        <v>Servicios de jardinería y fumigación</v>
      </c>
      <c r="N144" s="1">
        <v>1.0</v>
      </c>
      <c r="O144" s="1">
        <v>1.0</v>
      </c>
      <c r="P144" s="1">
        <v>9.0</v>
      </c>
      <c r="Q144" s="1">
        <v>0.0</v>
      </c>
      <c r="R144" s="1">
        <v>112990.0</v>
      </c>
      <c r="S144" s="1">
        <v>325626.0</v>
      </c>
      <c r="T144" s="1">
        <v>325626.0</v>
      </c>
      <c r="U144" s="1">
        <v>325626.0</v>
      </c>
      <c r="V144" s="1">
        <v>325626.0</v>
      </c>
    </row>
    <row r="145" ht="15.75" customHeight="1">
      <c r="A145" s="1">
        <v>12.0</v>
      </c>
      <c r="B145" s="1" t="s">
        <v>22</v>
      </c>
      <c r="C145" s="1">
        <v>2.0</v>
      </c>
      <c r="D145" s="1">
        <v>3.0</v>
      </c>
      <c r="E145" s="1">
        <v>2.0</v>
      </c>
      <c r="F145" s="1">
        <v>0.0</v>
      </c>
      <c r="G145" s="1">
        <v>18.0</v>
      </c>
      <c r="H145" s="1" t="str">
        <f t="shared" si="2"/>
        <v>E023</v>
      </c>
      <c r="I145" s="1" t="s">
        <v>42</v>
      </c>
      <c r="J145" s="1">
        <v>23.0</v>
      </c>
      <c r="K145" s="2">
        <v>3000.0</v>
      </c>
      <c r="L145" s="1">
        <v>35901.0</v>
      </c>
      <c r="M145" s="1" t="str">
        <f>VLOOKUP(L145,'Catálogos'!$A$2:$B$492,2,0)</f>
        <v>Servicios de jardinería y fumigación</v>
      </c>
      <c r="N145" s="1">
        <v>1.0</v>
      </c>
      <c r="O145" s="1">
        <v>4.0</v>
      </c>
      <c r="P145" s="1">
        <v>9.0</v>
      </c>
      <c r="Q145" s="1">
        <v>0.0</v>
      </c>
      <c r="R145" s="1">
        <v>51600.0</v>
      </c>
      <c r="S145" s="1">
        <v>0.0</v>
      </c>
      <c r="T145" s="1">
        <v>0.0</v>
      </c>
      <c r="U145" s="1">
        <v>0.0</v>
      </c>
      <c r="V145" s="1">
        <v>0.0</v>
      </c>
    </row>
    <row r="146" ht="15.75" customHeight="1">
      <c r="A146" s="1">
        <v>12.0</v>
      </c>
      <c r="B146" s="1" t="s">
        <v>22</v>
      </c>
      <c r="C146" s="1">
        <v>2.0</v>
      </c>
      <c r="D146" s="1">
        <v>3.0</v>
      </c>
      <c r="E146" s="1">
        <v>2.0</v>
      </c>
      <c r="F146" s="1">
        <v>0.0</v>
      </c>
      <c r="G146" s="1">
        <v>18.0</v>
      </c>
      <c r="H146" s="1" t="str">
        <f t="shared" si="2"/>
        <v>E023</v>
      </c>
      <c r="I146" s="1" t="s">
        <v>42</v>
      </c>
      <c r="J146" s="1">
        <v>23.0</v>
      </c>
      <c r="K146" s="2">
        <v>3000.0</v>
      </c>
      <c r="L146" s="1">
        <v>39202.0</v>
      </c>
      <c r="M146" s="1" t="str">
        <f>VLOOKUP(L146,'Catálogos'!$A$2:$B$492,2,0)</f>
        <v>Otros impuestos y derechos</v>
      </c>
      <c r="N146" s="1">
        <v>1.0</v>
      </c>
      <c r="O146" s="1">
        <v>4.0</v>
      </c>
      <c r="P146" s="1">
        <v>9.0</v>
      </c>
      <c r="Q146" s="1">
        <v>0.0</v>
      </c>
      <c r="R146" s="1">
        <v>150000.0</v>
      </c>
      <c r="S146" s="1">
        <v>56418.0</v>
      </c>
      <c r="T146" s="1">
        <v>15077.0</v>
      </c>
      <c r="U146" s="1">
        <v>15077.0</v>
      </c>
      <c r="V146" s="1">
        <v>15077.0</v>
      </c>
    </row>
    <row r="147" ht="15.75" customHeight="1">
      <c r="A147" s="1">
        <v>12.0</v>
      </c>
      <c r="B147" s="1" t="s">
        <v>22</v>
      </c>
      <c r="C147" s="1">
        <v>2.0</v>
      </c>
      <c r="D147" s="1">
        <v>3.0</v>
      </c>
      <c r="E147" s="1">
        <v>2.0</v>
      </c>
      <c r="F147" s="1">
        <v>0.0</v>
      </c>
      <c r="G147" s="1">
        <v>18.0</v>
      </c>
      <c r="H147" s="1" t="str">
        <f t="shared" si="2"/>
        <v>E023</v>
      </c>
      <c r="I147" s="1" t="s">
        <v>42</v>
      </c>
      <c r="J147" s="1">
        <v>23.0</v>
      </c>
      <c r="K147" s="2">
        <v>3000.0</v>
      </c>
      <c r="L147" s="1">
        <v>39401.0</v>
      </c>
      <c r="M147" s="1" t="str">
        <f>VLOOKUP(L147,'Catálogos'!$A$2:$B$492,2,0)</f>
        <v>Erogaciones por resoluciones por autoridad competente</v>
      </c>
      <c r="N147" s="1">
        <v>1.0</v>
      </c>
      <c r="O147" s="1">
        <v>4.0</v>
      </c>
      <c r="P147" s="1">
        <v>9.0</v>
      </c>
      <c r="Q147" s="1">
        <v>0.0</v>
      </c>
      <c r="R147" s="1">
        <v>0.0</v>
      </c>
      <c r="S147" s="1">
        <v>547108.0</v>
      </c>
      <c r="T147" s="1">
        <v>547107.0</v>
      </c>
      <c r="U147" s="1">
        <v>547107.0</v>
      </c>
      <c r="V147" s="1">
        <v>547107.0</v>
      </c>
    </row>
    <row r="148" ht="15.75" customHeight="1">
      <c r="A148" s="1">
        <v>12.0</v>
      </c>
      <c r="B148" s="1" t="s">
        <v>22</v>
      </c>
      <c r="C148" s="1">
        <v>2.0</v>
      </c>
      <c r="D148" s="1">
        <v>3.0</v>
      </c>
      <c r="E148" s="1">
        <v>2.0</v>
      </c>
      <c r="F148" s="1">
        <v>0.0</v>
      </c>
      <c r="G148" s="1">
        <v>18.0</v>
      </c>
      <c r="H148" s="1" t="str">
        <f t="shared" si="2"/>
        <v>E023</v>
      </c>
      <c r="I148" s="1" t="s">
        <v>42</v>
      </c>
      <c r="J148" s="1">
        <v>23.0</v>
      </c>
      <c r="K148" s="2">
        <v>3000.0</v>
      </c>
      <c r="L148" s="1">
        <v>39801.0</v>
      </c>
      <c r="M148" s="1" t="str">
        <f>VLOOKUP(L148,'Catálogos'!$A$2:$B$492,2,0)</f>
        <v>Impuesto sobre nóminas</v>
      </c>
      <c r="N148" s="1">
        <v>1.0</v>
      </c>
      <c r="O148" s="1">
        <v>1.0</v>
      </c>
      <c r="P148" s="1">
        <v>9.0</v>
      </c>
      <c r="Q148" s="1">
        <v>0.0</v>
      </c>
      <c r="R148" s="1">
        <v>1.8391999E7</v>
      </c>
      <c r="S148" s="1">
        <v>1.8391999E7</v>
      </c>
      <c r="T148" s="1">
        <v>1.8391999E7</v>
      </c>
      <c r="U148" s="1">
        <v>1.8391999E7</v>
      </c>
      <c r="V148" s="1">
        <v>1.8391999E7</v>
      </c>
    </row>
    <row r="149" ht="15.75" customHeight="1">
      <c r="A149" s="1">
        <v>12.0</v>
      </c>
      <c r="B149" s="1" t="s">
        <v>22</v>
      </c>
      <c r="C149" s="1">
        <v>2.0</v>
      </c>
      <c r="D149" s="1">
        <v>3.0</v>
      </c>
      <c r="E149" s="1">
        <v>3.0</v>
      </c>
      <c r="F149" s="1">
        <v>0.0</v>
      </c>
      <c r="G149" s="1">
        <v>19.0</v>
      </c>
      <c r="H149" s="1" t="str">
        <f t="shared" si="2"/>
        <v>E010</v>
      </c>
      <c r="I149" s="1" t="s">
        <v>42</v>
      </c>
      <c r="J149" s="1">
        <v>10.0</v>
      </c>
      <c r="K149" s="2">
        <v>1000.0</v>
      </c>
      <c r="L149" s="1">
        <v>11301.0</v>
      </c>
      <c r="M149" s="1" t="str">
        <f>VLOOKUP(L149,'Catálogos'!$A$2:$B$492,2,0)</f>
        <v>Sueldos base</v>
      </c>
      <c r="N149" s="1">
        <v>1.0</v>
      </c>
      <c r="O149" s="1">
        <v>1.0</v>
      </c>
      <c r="P149" s="1">
        <v>9.0</v>
      </c>
      <c r="Q149" s="1">
        <v>0.0</v>
      </c>
      <c r="R149" s="1">
        <v>1.7612799E7</v>
      </c>
      <c r="S149" s="1">
        <v>1.7576603E7</v>
      </c>
      <c r="T149" s="1">
        <v>1.7576603E7</v>
      </c>
      <c r="U149" s="1">
        <v>1.7576603E7</v>
      </c>
      <c r="V149" s="1">
        <v>1.7576603E7</v>
      </c>
    </row>
    <row r="150" ht="15.75" customHeight="1">
      <c r="A150" s="1">
        <v>12.0</v>
      </c>
      <c r="B150" s="1" t="s">
        <v>22</v>
      </c>
      <c r="C150" s="1">
        <v>2.0</v>
      </c>
      <c r="D150" s="1">
        <v>3.0</v>
      </c>
      <c r="E150" s="1">
        <v>3.0</v>
      </c>
      <c r="F150" s="1">
        <v>0.0</v>
      </c>
      <c r="G150" s="1">
        <v>19.0</v>
      </c>
      <c r="H150" s="1" t="str">
        <f t="shared" si="2"/>
        <v>E010</v>
      </c>
      <c r="I150" s="1" t="s">
        <v>42</v>
      </c>
      <c r="J150" s="1">
        <v>10.0</v>
      </c>
      <c r="K150" s="2">
        <v>1000.0</v>
      </c>
      <c r="L150" s="1">
        <v>12301.0</v>
      </c>
      <c r="M150" s="1" t="str">
        <f>VLOOKUP(L150,'Catálogos'!$A$2:$B$492,2,0)</f>
        <v>Retribuciones por servicios de carácter social</v>
      </c>
      <c r="N150" s="1">
        <v>1.0</v>
      </c>
      <c r="O150" s="1">
        <v>1.0</v>
      </c>
      <c r="P150" s="1">
        <v>9.0</v>
      </c>
      <c r="Q150" s="1">
        <v>0.0</v>
      </c>
      <c r="R150" s="1">
        <v>1.0276877E7</v>
      </c>
      <c r="S150" s="1">
        <v>1.1133228E7</v>
      </c>
      <c r="T150" s="1">
        <v>1.1133228E7</v>
      </c>
      <c r="U150" s="1">
        <v>1.1133228E7</v>
      </c>
      <c r="V150" s="1">
        <v>1.1133228E7</v>
      </c>
    </row>
    <row r="151" ht="15.75" customHeight="1">
      <c r="A151" s="1">
        <v>12.0</v>
      </c>
      <c r="B151" s="1" t="s">
        <v>22</v>
      </c>
      <c r="C151" s="1">
        <v>2.0</v>
      </c>
      <c r="D151" s="1">
        <v>3.0</v>
      </c>
      <c r="E151" s="1">
        <v>3.0</v>
      </c>
      <c r="F151" s="1">
        <v>0.0</v>
      </c>
      <c r="G151" s="1">
        <v>19.0</v>
      </c>
      <c r="H151" s="1" t="str">
        <f t="shared" si="2"/>
        <v>E010</v>
      </c>
      <c r="I151" s="1" t="s">
        <v>42</v>
      </c>
      <c r="J151" s="1">
        <v>10.0</v>
      </c>
      <c r="K151" s="2">
        <v>1000.0</v>
      </c>
      <c r="L151" s="1">
        <v>13101.0</v>
      </c>
      <c r="M151" s="1" t="str">
        <f>VLOOKUP(L151,'Catálogos'!$A$2:$B$492,2,0)</f>
        <v>Prima quinquenal por años de servicios efectivos prestados</v>
      </c>
      <c r="N151" s="1">
        <v>1.0</v>
      </c>
      <c r="O151" s="1">
        <v>1.0</v>
      </c>
      <c r="P151" s="1">
        <v>9.0</v>
      </c>
      <c r="Q151" s="1">
        <v>0.0</v>
      </c>
      <c r="R151" s="1">
        <v>414915.0</v>
      </c>
      <c r="S151" s="1">
        <v>414915.0</v>
      </c>
      <c r="T151" s="1">
        <v>414915.0</v>
      </c>
      <c r="U151" s="1">
        <v>414915.0</v>
      </c>
      <c r="V151" s="1">
        <v>414915.0</v>
      </c>
    </row>
    <row r="152" ht="15.75" customHeight="1">
      <c r="A152" s="1">
        <v>12.0</v>
      </c>
      <c r="B152" s="1" t="s">
        <v>22</v>
      </c>
      <c r="C152" s="1">
        <v>2.0</v>
      </c>
      <c r="D152" s="1">
        <v>3.0</v>
      </c>
      <c r="E152" s="1">
        <v>3.0</v>
      </c>
      <c r="F152" s="1">
        <v>0.0</v>
      </c>
      <c r="G152" s="1">
        <v>19.0</v>
      </c>
      <c r="H152" s="1" t="str">
        <f t="shared" si="2"/>
        <v>E010</v>
      </c>
      <c r="I152" s="1" t="s">
        <v>42</v>
      </c>
      <c r="J152" s="1">
        <v>10.0</v>
      </c>
      <c r="K152" s="2">
        <v>1000.0</v>
      </c>
      <c r="L152" s="1">
        <v>13201.0</v>
      </c>
      <c r="M152" s="1" t="str">
        <f>VLOOKUP(L152,'Catálogos'!$A$2:$B$492,2,0)</f>
        <v>Primas de vacaciones y dominical</v>
      </c>
      <c r="N152" s="1">
        <v>1.0</v>
      </c>
      <c r="O152" s="1">
        <v>1.0</v>
      </c>
      <c r="P152" s="1">
        <v>9.0</v>
      </c>
      <c r="Q152" s="1">
        <v>0.0</v>
      </c>
      <c r="R152" s="1">
        <v>732485.0</v>
      </c>
      <c r="S152" s="1">
        <v>732485.0</v>
      </c>
      <c r="T152" s="1">
        <v>732485.0</v>
      </c>
      <c r="U152" s="1">
        <v>732485.0</v>
      </c>
      <c r="V152" s="1">
        <v>732485.0</v>
      </c>
    </row>
    <row r="153" ht="15.75" customHeight="1">
      <c r="A153" s="1">
        <v>12.0</v>
      </c>
      <c r="B153" s="1" t="s">
        <v>22</v>
      </c>
      <c r="C153" s="1">
        <v>2.0</v>
      </c>
      <c r="D153" s="1">
        <v>3.0</v>
      </c>
      <c r="E153" s="1">
        <v>3.0</v>
      </c>
      <c r="F153" s="1">
        <v>0.0</v>
      </c>
      <c r="G153" s="1">
        <v>19.0</v>
      </c>
      <c r="H153" s="1" t="str">
        <f t="shared" si="2"/>
        <v>E010</v>
      </c>
      <c r="I153" s="1" t="s">
        <v>42</v>
      </c>
      <c r="J153" s="1">
        <v>10.0</v>
      </c>
      <c r="K153" s="2">
        <v>1000.0</v>
      </c>
      <c r="L153" s="1">
        <v>13202.0</v>
      </c>
      <c r="M153" s="1" t="str">
        <f>VLOOKUP(L153,'Catálogos'!$A$2:$B$492,2,0)</f>
        <v>Aguinaldo o gratificación de fin de año</v>
      </c>
      <c r="N153" s="1">
        <v>1.0</v>
      </c>
      <c r="O153" s="1">
        <v>1.0</v>
      </c>
      <c r="P153" s="1">
        <v>9.0</v>
      </c>
      <c r="Q153" s="1">
        <v>0.0</v>
      </c>
      <c r="R153" s="1">
        <v>2344871.0</v>
      </c>
      <c r="S153" s="1">
        <v>2367246.0</v>
      </c>
      <c r="T153" s="1">
        <v>2367246.0</v>
      </c>
      <c r="U153" s="1">
        <v>2367246.0</v>
      </c>
      <c r="V153" s="1">
        <v>2367246.0</v>
      </c>
    </row>
    <row r="154" ht="15.75" customHeight="1">
      <c r="A154" s="1">
        <v>12.0</v>
      </c>
      <c r="B154" s="1" t="s">
        <v>22</v>
      </c>
      <c r="C154" s="1">
        <v>2.0</v>
      </c>
      <c r="D154" s="1">
        <v>3.0</v>
      </c>
      <c r="E154" s="1">
        <v>3.0</v>
      </c>
      <c r="F154" s="1">
        <v>0.0</v>
      </c>
      <c r="G154" s="1">
        <v>19.0</v>
      </c>
      <c r="H154" s="1" t="str">
        <f t="shared" si="2"/>
        <v>E010</v>
      </c>
      <c r="I154" s="1" t="s">
        <v>42</v>
      </c>
      <c r="J154" s="1">
        <v>10.0</v>
      </c>
      <c r="K154" s="2">
        <v>1000.0</v>
      </c>
      <c r="L154" s="1">
        <v>13301.0</v>
      </c>
      <c r="M154" s="1" t="str">
        <f>VLOOKUP(L154,'Catálogos'!$A$2:$B$492,2,0)</f>
        <v>Remuneraciones por horas extraordinarias</v>
      </c>
      <c r="N154" s="1">
        <v>1.0</v>
      </c>
      <c r="O154" s="1">
        <v>1.0</v>
      </c>
      <c r="P154" s="1">
        <v>9.0</v>
      </c>
      <c r="Q154" s="1">
        <v>0.0</v>
      </c>
      <c r="R154" s="1">
        <v>90231.0</v>
      </c>
      <c r="S154" s="1">
        <v>63219.0</v>
      </c>
      <c r="T154" s="1">
        <v>63219.0</v>
      </c>
      <c r="U154" s="1">
        <v>63219.0</v>
      </c>
      <c r="V154" s="1">
        <v>63219.0</v>
      </c>
    </row>
    <row r="155" ht="15.75" customHeight="1">
      <c r="A155" s="1">
        <v>12.0</v>
      </c>
      <c r="B155" s="1" t="s">
        <v>22</v>
      </c>
      <c r="C155" s="1">
        <v>2.0</v>
      </c>
      <c r="D155" s="1">
        <v>3.0</v>
      </c>
      <c r="E155" s="1">
        <v>3.0</v>
      </c>
      <c r="F155" s="1">
        <v>0.0</v>
      </c>
      <c r="G155" s="1">
        <v>19.0</v>
      </c>
      <c r="H155" s="1" t="str">
        <f t="shared" si="2"/>
        <v>E010</v>
      </c>
      <c r="I155" s="1" t="s">
        <v>42</v>
      </c>
      <c r="J155" s="1">
        <v>10.0</v>
      </c>
      <c r="K155" s="2">
        <v>1000.0</v>
      </c>
      <c r="L155" s="1">
        <v>13404.0</v>
      </c>
      <c r="M155" s="1" t="str">
        <f>VLOOKUP(L155,'Catálogos'!$A$2:$B$492,2,0)</f>
        <v>Compensaciones por servicios eventuales</v>
      </c>
      <c r="N155" s="1">
        <v>1.0</v>
      </c>
      <c r="O155" s="1">
        <v>1.0</v>
      </c>
      <c r="P155" s="1">
        <v>9.0</v>
      </c>
      <c r="Q155" s="1">
        <v>0.0</v>
      </c>
      <c r="R155" s="1">
        <v>234105.0</v>
      </c>
      <c r="S155" s="1">
        <v>288674.0</v>
      </c>
      <c r="T155" s="1">
        <v>288674.0</v>
      </c>
      <c r="U155" s="1">
        <v>288674.0</v>
      </c>
      <c r="V155" s="1">
        <v>288674.0</v>
      </c>
    </row>
    <row r="156" ht="15.75" customHeight="1">
      <c r="A156" s="1">
        <v>12.0</v>
      </c>
      <c r="B156" s="1" t="s">
        <v>22</v>
      </c>
      <c r="C156" s="1">
        <v>2.0</v>
      </c>
      <c r="D156" s="1">
        <v>3.0</v>
      </c>
      <c r="E156" s="1">
        <v>3.0</v>
      </c>
      <c r="F156" s="1">
        <v>0.0</v>
      </c>
      <c r="G156" s="1">
        <v>19.0</v>
      </c>
      <c r="H156" s="1" t="str">
        <f t="shared" si="2"/>
        <v>E010</v>
      </c>
      <c r="I156" s="1" t="s">
        <v>42</v>
      </c>
      <c r="J156" s="1">
        <v>10.0</v>
      </c>
      <c r="K156" s="2">
        <v>1000.0</v>
      </c>
      <c r="L156" s="1">
        <v>13407.0</v>
      </c>
      <c r="M156" s="1" t="str">
        <f>VLOOKUP(L156,'Catálogos'!$A$2:$B$492,2,0)</f>
        <v>Compensaciones adicionales por servicios especiales</v>
      </c>
      <c r="N156" s="1">
        <v>1.0</v>
      </c>
      <c r="O156" s="1">
        <v>1.0</v>
      </c>
      <c r="P156" s="1">
        <v>9.0</v>
      </c>
      <c r="Q156" s="1">
        <v>0.0</v>
      </c>
      <c r="R156" s="1">
        <v>1886729.0</v>
      </c>
      <c r="S156" s="1">
        <v>1886729.0</v>
      </c>
      <c r="T156" s="1">
        <v>1886729.0</v>
      </c>
      <c r="U156" s="1">
        <v>1886729.0</v>
      </c>
      <c r="V156" s="1">
        <v>1886729.0</v>
      </c>
    </row>
    <row r="157" ht="15.75" customHeight="1">
      <c r="A157" s="1">
        <v>12.0</v>
      </c>
      <c r="B157" s="1" t="s">
        <v>22</v>
      </c>
      <c r="C157" s="1">
        <v>2.0</v>
      </c>
      <c r="D157" s="1">
        <v>3.0</v>
      </c>
      <c r="E157" s="1">
        <v>3.0</v>
      </c>
      <c r="F157" s="1">
        <v>0.0</v>
      </c>
      <c r="G157" s="1">
        <v>19.0</v>
      </c>
      <c r="H157" s="1" t="str">
        <f t="shared" si="2"/>
        <v>E010</v>
      </c>
      <c r="I157" s="1" t="s">
        <v>42</v>
      </c>
      <c r="J157" s="1">
        <v>10.0</v>
      </c>
      <c r="K157" s="2">
        <v>1000.0</v>
      </c>
      <c r="L157" s="1">
        <v>13410.0</v>
      </c>
      <c r="M157" s="1" t="str">
        <f>VLOOKUP(L157,'Catálogos'!$A$2:$B$492,2,0)</f>
        <v>Compensación por actualización y formación académica</v>
      </c>
      <c r="N157" s="1">
        <v>1.0</v>
      </c>
      <c r="O157" s="1">
        <v>1.0</v>
      </c>
      <c r="P157" s="1">
        <v>9.0</v>
      </c>
      <c r="Q157" s="1">
        <v>0.0</v>
      </c>
      <c r="R157" s="1">
        <v>7119053.0</v>
      </c>
      <c r="S157" s="1">
        <v>6923302.0</v>
      </c>
      <c r="T157" s="1">
        <v>6923302.0</v>
      </c>
      <c r="U157" s="1">
        <v>6923302.0</v>
      </c>
      <c r="V157" s="1">
        <v>6923302.0</v>
      </c>
    </row>
    <row r="158" ht="15.75" customHeight="1">
      <c r="A158" s="1">
        <v>12.0</v>
      </c>
      <c r="B158" s="1" t="s">
        <v>22</v>
      </c>
      <c r="C158" s="1">
        <v>2.0</v>
      </c>
      <c r="D158" s="1">
        <v>3.0</v>
      </c>
      <c r="E158" s="1">
        <v>3.0</v>
      </c>
      <c r="F158" s="1">
        <v>0.0</v>
      </c>
      <c r="G158" s="1">
        <v>19.0</v>
      </c>
      <c r="H158" s="1" t="str">
        <f t="shared" si="2"/>
        <v>E010</v>
      </c>
      <c r="I158" s="1" t="s">
        <v>42</v>
      </c>
      <c r="J158" s="1">
        <v>10.0</v>
      </c>
      <c r="K158" s="2">
        <v>1000.0</v>
      </c>
      <c r="L158" s="1">
        <v>13411.0</v>
      </c>
      <c r="M158" s="1" t="str">
        <f>VLOOKUP(L158,'Catálogos'!$A$2:$B$492,2,0)</f>
        <v>Compensaciones a médicos residentes</v>
      </c>
      <c r="N158" s="1">
        <v>1.0</v>
      </c>
      <c r="O158" s="1">
        <v>1.0</v>
      </c>
      <c r="P158" s="1">
        <v>9.0</v>
      </c>
      <c r="Q158" s="1">
        <v>0.0</v>
      </c>
      <c r="R158" s="1">
        <v>1.4787368E7</v>
      </c>
      <c r="S158" s="1">
        <v>1.6006747E7</v>
      </c>
      <c r="T158" s="1">
        <v>1.6006747E7</v>
      </c>
      <c r="U158" s="1">
        <v>1.6006747E7</v>
      </c>
      <c r="V158" s="1">
        <v>1.6006747E7</v>
      </c>
    </row>
    <row r="159" ht="15.75" customHeight="1">
      <c r="A159" s="1">
        <v>12.0</v>
      </c>
      <c r="B159" s="1" t="s">
        <v>22</v>
      </c>
      <c r="C159" s="1">
        <v>2.0</v>
      </c>
      <c r="D159" s="1">
        <v>3.0</v>
      </c>
      <c r="E159" s="1">
        <v>3.0</v>
      </c>
      <c r="F159" s="1">
        <v>0.0</v>
      </c>
      <c r="G159" s="1">
        <v>19.0</v>
      </c>
      <c r="H159" s="1" t="str">
        <f t="shared" si="2"/>
        <v>E010</v>
      </c>
      <c r="I159" s="1" t="s">
        <v>42</v>
      </c>
      <c r="J159" s="1">
        <v>10.0</v>
      </c>
      <c r="K159" s="2">
        <v>1000.0</v>
      </c>
      <c r="L159" s="1">
        <v>14101.0</v>
      </c>
      <c r="M159" s="1" t="str">
        <f>VLOOKUP(L159,'Catálogos'!$A$2:$B$492,2,0)</f>
        <v>Aportaciones al ISSSTE</v>
      </c>
      <c r="N159" s="1">
        <v>1.0</v>
      </c>
      <c r="O159" s="1">
        <v>1.0</v>
      </c>
      <c r="P159" s="1">
        <v>9.0</v>
      </c>
      <c r="Q159" s="1">
        <v>0.0</v>
      </c>
      <c r="R159" s="1">
        <v>768249.0</v>
      </c>
      <c r="S159" s="1">
        <v>676592.0</v>
      </c>
      <c r="T159" s="1">
        <v>676592.0</v>
      </c>
      <c r="U159" s="1">
        <v>676592.0</v>
      </c>
      <c r="V159" s="1">
        <v>676592.0</v>
      </c>
    </row>
    <row r="160" ht="15.75" customHeight="1">
      <c r="A160" s="1">
        <v>12.0</v>
      </c>
      <c r="B160" s="1" t="s">
        <v>22</v>
      </c>
      <c r="C160" s="1">
        <v>2.0</v>
      </c>
      <c r="D160" s="1">
        <v>3.0</v>
      </c>
      <c r="E160" s="1">
        <v>3.0</v>
      </c>
      <c r="F160" s="1">
        <v>0.0</v>
      </c>
      <c r="G160" s="1">
        <v>19.0</v>
      </c>
      <c r="H160" s="1" t="str">
        <f t="shared" si="2"/>
        <v>E010</v>
      </c>
      <c r="I160" s="1" t="s">
        <v>42</v>
      </c>
      <c r="J160" s="1">
        <v>10.0</v>
      </c>
      <c r="K160" s="2">
        <v>1000.0</v>
      </c>
      <c r="L160" s="1">
        <v>14105.0</v>
      </c>
      <c r="M160" s="1" t="str">
        <f>VLOOKUP(L160,'Catálogos'!$A$2:$B$492,2,0)</f>
        <v>Aportaciones al seguro de cesantía en edad avanzada y vejez</v>
      </c>
      <c r="N160" s="1">
        <v>1.0</v>
      </c>
      <c r="O160" s="1">
        <v>1.0</v>
      </c>
      <c r="P160" s="1">
        <v>9.0</v>
      </c>
      <c r="Q160" s="1">
        <v>0.0</v>
      </c>
      <c r="R160" s="1">
        <v>1034904.0</v>
      </c>
      <c r="S160" s="1">
        <v>1034904.0</v>
      </c>
      <c r="T160" s="1">
        <v>1034904.0</v>
      </c>
      <c r="U160" s="1">
        <v>1034904.0</v>
      </c>
      <c r="V160" s="1">
        <v>1034904.0</v>
      </c>
    </row>
    <row r="161" ht="15.75" customHeight="1">
      <c r="A161" s="1">
        <v>12.0</v>
      </c>
      <c r="B161" s="1" t="s">
        <v>22</v>
      </c>
      <c r="C161" s="1">
        <v>2.0</v>
      </c>
      <c r="D161" s="1">
        <v>3.0</v>
      </c>
      <c r="E161" s="1">
        <v>3.0</v>
      </c>
      <c r="F161" s="1">
        <v>0.0</v>
      </c>
      <c r="G161" s="1">
        <v>19.0</v>
      </c>
      <c r="H161" s="1" t="str">
        <f t="shared" si="2"/>
        <v>E010</v>
      </c>
      <c r="I161" s="1" t="s">
        <v>42</v>
      </c>
      <c r="J161" s="1">
        <v>10.0</v>
      </c>
      <c r="K161" s="2">
        <v>1000.0</v>
      </c>
      <c r="L161" s="1">
        <v>14201.0</v>
      </c>
      <c r="M161" s="1" t="str">
        <f>VLOOKUP(L161,'Catálogos'!$A$2:$B$492,2,0)</f>
        <v>Aportaciones al FOVISSSTE</v>
      </c>
      <c r="N161" s="1">
        <v>1.0</v>
      </c>
      <c r="O161" s="1">
        <v>1.0</v>
      </c>
      <c r="P161" s="1">
        <v>9.0</v>
      </c>
      <c r="Q161" s="1">
        <v>0.0</v>
      </c>
      <c r="R161" s="1">
        <v>1013250.0</v>
      </c>
      <c r="S161" s="1">
        <v>1013250.0</v>
      </c>
      <c r="T161" s="1">
        <v>1013250.0</v>
      </c>
      <c r="U161" s="1">
        <v>1013250.0</v>
      </c>
      <c r="V161" s="1">
        <v>1013250.0</v>
      </c>
    </row>
    <row r="162" ht="15.75" customHeight="1">
      <c r="A162" s="1">
        <v>12.0</v>
      </c>
      <c r="B162" s="1" t="s">
        <v>22</v>
      </c>
      <c r="C162" s="1">
        <v>2.0</v>
      </c>
      <c r="D162" s="1">
        <v>3.0</v>
      </c>
      <c r="E162" s="1">
        <v>3.0</v>
      </c>
      <c r="F162" s="1">
        <v>0.0</v>
      </c>
      <c r="G162" s="1">
        <v>19.0</v>
      </c>
      <c r="H162" s="1" t="str">
        <f t="shared" si="2"/>
        <v>E010</v>
      </c>
      <c r="I162" s="1" t="s">
        <v>42</v>
      </c>
      <c r="J162" s="1">
        <v>10.0</v>
      </c>
      <c r="K162" s="2">
        <v>1000.0</v>
      </c>
      <c r="L162" s="1">
        <v>14301.0</v>
      </c>
      <c r="M162" s="1" t="str">
        <f>VLOOKUP(L162,'Catálogos'!$A$2:$B$492,2,0)</f>
        <v>Aportaciones al Sistema de Ahorro para el Retiro</v>
      </c>
      <c r="N162" s="1">
        <v>1.0</v>
      </c>
      <c r="O162" s="1">
        <v>1.0</v>
      </c>
      <c r="P162" s="1">
        <v>9.0</v>
      </c>
      <c r="Q162" s="1">
        <v>0.0</v>
      </c>
      <c r="R162" s="1">
        <v>405300.0</v>
      </c>
      <c r="S162" s="1">
        <v>405300.0</v>
      </c>
      <c r="T162" s="1">
        <v>405300.0</v>
      </c>
      <c r="U162" s="1">
        <v>405300.0</v>
      </c>
      <c r="V162" s="1">
        <v>405300.0</v>
      </c>
    </row>
    <row r="163" ht="15.75" customHeight="1">
      <c r="A163" s="1">
        <v>12.0</v>
      </c>
      <c r="B163" s="1" t="s">
        <v>22</v>
      </c>
      <c r="C163" s="1">
        <v>2.0</v>
      </c>
      <c r="D163" s="1">
        <v>3.0</v>
      </c>
      <c r="E163" s="1">
        <v>3.0</v>
      </c>
      <c r="F163" s="1">
        <v>0.0</v>
      </c>
      <c r="G163" s="1">
        <v>19.0</v>
      </c>
      <c r="H163" s="1" t="str">
        <f t="shared" si="2"/>
        <v>E010</v>
      </c>
      <c r="I163" s="1" t="s">
        <v>42</v>
      </c>
      <c r="J163" s="1">
        <v>10.0</v>
      </c>
      <c r="K163" s="2">
        <v>1000.0</v>
      </c>
      <c r="L163" s="1">
        <v>14302.0</v>
      </c>
      <c r="M163" s="1" t="str">
        <f>VLOOKUP(L163,'Catálogos'!$A$2:$B$492,2,0)</f>
        <v>Depósitos para el ahorro solidario</v>
      </c>
      <c r="N163" s="1">
        <v>1.0</v>
      </c>
      <c r="O163" s="1">
        <v>1.0</v>
      </c>
      <c r="P163" s="1">
        <v>9.0</v>
      </c>
      <c r="Q163" s="1">
        <v>0.0</v>
      </c>
      <c r="R163" s="1">
        <v>285921.0</v>
      </c>
      <c r="S163" s="1">
        <v>285921.0</v>
      </c>
      <c r="T163" s="1">
        <v>285921.0</v>
      </c>
      <c r="U163" s="1">
        <v>285921.0</v>
      </c>
      <c r="V163" s="1">
        <v>285921.0</v>
      </c>
    </row>
    <row r="164" ht="15.75" customHeight="1">
      <c r="A164" s="1">
        <v>12.0</v>
      </c>
      <c r="B164" s="1" t="s">
        <v>22</v>
      </c>
      <c r="C164" s="1">
        <v>2.0</v>
      </c>
      <c r="D164" s="1">
        <v>3.0</v>
      </c>
      <c r="E164" s="1">
        <v>3.0</v>
      </c>
      <c r="F164" s="1">
        <v>0.0</v>
      </c>
      <c r="G164" s="1">
        <v>19.0</v>
      </c>
      <c r="H164" s="1" t="str">
        <f t="shared" si="2"/>
        <v>E010</v>
      </c>
      <c r="I164" s="1" t="s">
        <v>42</v>
      </c>
      <c r="J164" s="1">
        <v>10.0</v>
      </c>
      <c r="K164" s="2">
        <v>1000.0</v>
      </c>
      <c r="L164" s="1">
        <v>14401.0</v>
      </c>
      <c r="M164" s="1" t="str">
        <f>VLOOKUP(L164,'Catálogos'!$A$2:$B$492,2,0)</f>
        <v>Cuotas para el seguro de vida del personal civil</v>
      </c>
      <c r="N164" s="1">
        <v>1.0</v>
      </c>
      <c r="O164" s="1">
        <v>1.0</v>
      </c>
      <c r="P164" s="1">
        <v>9.0</v>
      </c>
      <c r="Q164" s="1">
        <v>0.0</v>
      </c>
      <c r="R164" s="1">
        <v>328356.0</v>
      </c>
      <c r="S164" s="1">
        <v>328356.0</v>
      </c>
      <c r="T164" s="1">
        <v>328356.0</v>
      </c>
      <c r="U164" s="1">
        <v>328356.0</v>
      </c>
      <c r="V164" s="1">
        <v>328356.0</v>
      </c>
    </row>
    <row r="165" ht="15.75" customHeight="1">
      <c r="A165" s="1">
        <v>12.0</v>
      </c>
      <c r="B165" s="1" t="s">
        <v>22</v>
      </c>
      <c r="C165" s="1">
        <v>2.0</v>
      </c>
      <c r="D165" s="1">
        <v>3.0</v>
      </c>
      <c r="E165" s="1">
        <v>3.0</v>
      </c>
      <c r="F165" s="1">
        <v>0.0</v>
      </c>
      <c r="G165" s="1">
        <v>19.0</v>
      </c>
      <c r="H165" s="1" t="str">
        <f t="shared" si="2"/>
        <v>E010</v>
      </c>
      <c r="I165" s="1" t="s">
        <v>42</v>
      </c>
      <c r="J165" s="1">
        <v>10.0</v>
      </c>
      <c r="K165" s="2">
        <v>1000.0</v>
      </c>
      <c r="L165" s="1">
        <v>14405.0</v>
      </c>
      <c r="M165" s="1" t="str">
        <f>VLOOKUP(L165,'Catálogos'!$A$2:$B$492,2,0)</f>
        <v>Cuotas para el seguro colectivo de retiro</v>
      </c>
      <c r="N165" s="1">
        <v>1.0</v>
      </c>
      <c r="O165" s="1">
        <v>1.0</v>
      </c>
      <c r="P165" s="1">
        <v>9.0</v>
      </c>
      <c r="Q165" s="1">
        <v>0.0</v>
      </c>
      <c r="R165" s="1">
        <v>9997.0</v>
      </c>
      <c r="S165" s="1">
        <v>12296.0</v>
      </c>
      <c r="T165" s="1">
        <v>12296.0</v>
      </c>
      <c r="U165" s="1">
        <v>12296.0</v>
      </c>
      <c r="V165" s="1">
        <v>12296.0</v>
      </c>
    </row>
    <row r="166" ht="15.75" customHeight="1">
      <c r="A166" s="1">
        <v>12.0</v>
      </c>
      <c r="B166" s="1" t="s">
        <v>22</v>
      </c>
      <c r="C166" s="1">
        <v>2.0</v>
      </c>
      <c r="D166" s="1">
        <v>3.0</v>
      </c>
      <c r="E166" s="1">
        <v>3.0</v>
      </c>
      <c r="F166" s="1">
        <v>0.0</v>
      </c>
      <c r="G166" s="1">
        <v>19.0</v>
      </c>
      <c r="H166" s="1" t="str">
        <f t="shared" si="2"/>
        <v>E010</v>
      </c>
      <c r="I166" s="1" t="s">
        <v>42</v>
      </c>
      <c r="J166" s="1">
        <v>10.0</v>
      </c>
      <c r="K166" s="2">
        <v>1000.0</v>
      </c>
      <c r="L166" s="1">
        <v>14406.0</v>
      </c>
      <c r="M166" s="1" t="str">
        <f>VLOOKUP(L166,'Catálogos'!$A$2:$B$492,2,0)</f>
        <v>Seguro de responsabilidad civil, asistencia legal y otros seguros</v>
      </c>
      <c r="N166" s="1">
        <v>1.0</v>
      </c>
      <c r="O166" s="1">
        <v>1.0</v>
      </c>
      <c r="P166" s="1">
        <v>9.0</v>
      </c>
      <c r="Q166" s="1">
        <v>0.0</v>
      </c>
      <c r="R166" s="1">
        <v>9840.0</v>
      </c>
      <c r="S166" s="1">
        <v>16180.0</v>
      </c>
      <c r="T166" s="1">
        <v>16180.0</v>
      </c>
      <c r="U166" s="1">
        <v>16180.0</v>
      </c>
      <c r="V166" s="1">
        <v>16180.0</v>
      </c>
    </row>
    <row r="167" ht="15.75" customHeight="1">
      <c r="A167" s="1">
        <v>12.0</v>
      </c>
      <c r="B167" s="1" t="s">
        <v>22</v>
      </c>
      <c r="C167" s="1">
        <v>2.0</v>
      </c>
      <c r="D167" s="1">
        <v>3.0</v>
      </c>
      <c r="E167" s="1">
        <v>3.0</v>
      </c>
      <c r="F167" s="1">
        <v>0.0</v>
      </c>
      <c r="G167" s="1">
        <v>19.0</v>
      </c>
      <c r="H167" s="1" t="str">
        <f t="shared" si="2"/>
        <v>E010</v>
      </c>
      <c r="I167" s="1" t="s">
        <v>42</v>
      </c>
      <c r="J167" s="1">
        <v>10.0</v>
      </c>
      <c r="K167" s="2">
        <v>1000.0</v>
      </c>
      <c r="L167" s="1">
        <v>15401.0</v>
      </c>
      <c r="M167" s="1" t="str">
        <f>VLOOKUP(L167,'Catálogos'!$A$2:$B$492,2,0)</f>
        <v>Prestaciones establecidas por condiciones generales de trabajo o contratos colectivos de trabajo</v>
      </c>
      <c r="N167" s="1">
        <v>1.0</v>
      </c>
      <c r="O167" s="1">
        <v>1.0</v>
      </c>
      <c r="P167" s="1">
        <v>9.0</v>
      </c>
      <c r="Q167" s="1">
        <v>0.0</v>
      </c>
      <c r="R167" s="1">
        <v>695598.0</v>
      </c>
      <c r="S167" s="1">
        <v>876527.0</v>
      </c>
      <c r="T167" s="1">
        <v>876527.0</v>
      </c>
      <c r="U167" s="1">
        <v>876527.0</v>
      </c>
      <c r="V167" s="1">
        <v>876527.0</v>
      </c>
    </row>
    <row r="168" ht="15.75" customHeight="1">
      <c r="A168" s="1">
        <v>12.0</v>
      </c>
      <c r="B168" s="1" t="s">
        <v>22</v>
      </c>
      <c r="C168" s="1">
        <v>2.0</v>
      </c>
      <c r="D168" s="1">
        <v>3.0</v>
      </c>
      <c r="E168" s="1">
        <v>3.0</v>
      </c>
      <c r="F168" s="1">
        <v>0.0</v>
      </c>
      <c r="G168" s="1">
        <v>19.0</v>
      </c>
      <c r="H168" s="1" t="str">
        <f t="shared" si="2"/>
        <v>E010</v>
      </c>
      <c r="I168" s="1" t="s">
        <v>42</v>
      </c>
      <c r="J168" s="1">
        <v>10.0</v>
      </c>
      <c r="K168" s="2">
        <v>1000.0</v>
      </c>
      <c r="L168" s="1">
        <v>15402.0</v>
      </c>
      <c r="M168" s="1" t="str">
        <f>VLOOKUP(L168,'Catálogos'!$A$2:$B$492,2,0)</f>
        <v>Compensación garantizada</v>
      </c>
      <c r="N168" s="1">
        <v>1.0</v>
      </c>
      <c r="O168" s="1">
        <v>1.0</v>
      </c>
      <c r="P168" s="1">
        <v>9.0</v>
      </c>
      <c r="Q168" s="1">
        <v>0.0</v>
      </c>
      <c r="R168" s="1">
        <v>840138.0</v>
      </c>
      <c r="S168" s="1">
        <v>840138.0</v>
      </c>
      <c r="T168" s="1">
        <v>840138.0</v>
      </c>
      <c r="U168" s="1">
        <v>840138.0</v>
      </c>
      <c r="V168" s="1">
        <v>840138.0</v>
      </c>
    </row>
    <row r="169" ht="15.75" customHeight="1">
      <c r="A169" s="1">
        <v>12.0</v>
      </c>
      <c r="B169" s="1" t="s">
        <v>22</v>
      </c>
      <c r="C169" s="1">
        <v>2.0</v>
      </c>
      <c r="D169" s="1">
        <v>3.0</v>
      </c>
      <c r="E169" s="1">
        <v>3.0</v>
      </c>
      <c r="F169" s="1">
        <v>0.0</v>
      </c>
      <c r="G169" s="1">
        <v>19.0</v>
      </c>
      <c r="H169" s="1" t="str">
        <f t="shared" si="2"/>
        <v>E010</v>
      </c>
      <c r="I169" s="1" t="s">
        <v>42</v>
      </c>
      <c r="J169" s="1">
        <v>10.0</v>
      </c>
      <c r="K169" s="2">
        <v>1000.0</v>
      </c>
      <c r="L169" s="1">
        <v>15403.0</v>
      </c>
      <c r="M169" s="1" t="str">
        <f>VLOOKUP(L169,'Catálogos'!$A$2:$B$492,2,0)</f>
        <v>Asignaciones adicionales al sueldo</v>
      </c>
      <c r="N169" s="1">
        <v>1.0</v>
      </c>
      <c r="O169" s="1">
        <v>1.0</v>
      </c>
      <c r="P169" s="1">
        <v>9.0</v>
      </c>
      <c r="Q169" s="1">
        <v>0.0</v>
      </c>
      <c r="R169" s="1">
        <v>3760057.0</v>
      </c>
      <c r="S169" s="1">
        <v>3661282.0</v>
      </c>
      <c r="T169" s="1">
        <v>3661282.0</v>
      </c>
      <c r="U169" s="1">
        <v>3661282.0</v>
      </c>
      <c r="V169" s="1">
        <v>3661282.0</v>
      </c>
    </row>
    <row r="170" ht="15.75" customHeight="1">
      <c r="A170" s="1">
        <v>12.0</v>
      </c>
      <c r="B170" s="1" t="s">
        <v>22</v>
      </c>
      <c r="C170" s="1">
        <v>2.0</v>
      </c>
      <c r="D170" s="1">
        <v>3.0</v>
      </c>
      <c r="E170" s="1">
        <v>3.0</v>
      </c>
      <c r="F170" s="1">
        <v>0.0</v>
      </c>
      <c r="G170" s="1">
        <v>19.0</v>
      </c>
      <c r="H170" s="1" t="str">
        <f t="shared" si="2"/>
        <v>E010</v>
      </c>
      <c r="I170" s="1" t="s">
        <v>42</v>
      </c>
      <c r="J170" s="1">
        <v>10.0</v>
      </c>
      <c r="K170" s="2">
        <v>1000.0</v>
      </c>
      <c r="L170" s="1">
        <v>15901.0</v>
      </c>
      <c r="M170" s="1" t="str">
        <f>VLOOKUP(L170,'Catálogos'!$A$2:$B$492,2,0)</f>
        <v>Otras prestaciones</v>
      </c>
      <c r="N170" s="1">
        <v>1.0</v>
      </c>
      <c r="O170" s="1">
        <v>1.0</v>
      </c>
      <c r="P170" s="1">
        <v>9.0</v>
      </c>
      <c r="Q170" s="1">
        <v>0.0</v>
      </c>
      <c r="R170" s="1">
        <v>1.106878E7</v>
      </c>
      <c r="S170" s="1">
        <v>1.0887851E7</v>
      </c>
      <c r="T170" s="1">
        <v>1.0887851E7</v>
      </c>
      <c r="U170" s="1">
        <v>1.0887851E7</v>
      </c>
      <c r="V170" s="1">
        <v>1.0887851E7</v>
      </c>
    </row>
    <row r="171" ht="15.75" customHeight="1">
      <c r="A171" s="1">
        <v>12.0</v>
      </c>
      <c r="B171" s="1" t="s">
        <v>22</v>
      </c>
      <c r="C171" s="1">
        <v>2.0</v>
      </c>
      <c r="D171" s="1">
        <v>3.0</v>
      </c>
      <c r="E171" s="1">
        <v>3.0</v>
      </c>
      <c r="F171" s="1">
        <v>0.0</v>
      </c>
      <c r="G171" s="1">
        <v>19.0</v>
      </c>
      <c r="H171" s="1" t="str">
        <f t="shared" si="2"/>
        <v>E010</v>
      </c>
      <c r="I171" s="1" t="s">
        <v>42</v>
      </c>
      <c r="J171" s="1">
        <v>10.0</v>
      </c>
      <c r="K171" s="2">
        <v>1000.0</v>
      </c>
      <c r="L171" s="1">
        <v>17102.0</v>
      </c>
      <c r="M171" s="1" t="str">
        <f>VLOOKUP(L171,'Catálogos'!$A$2:$B$492,2,0)</f>
        <v>Estímulos al personal operativo</v>
      </c>
      <c r="N171" s="1">
        <v>1.0</v>
      </c>
      <c r="O171" s="1">
        <v>1.0</v>
      </c>
      <c r="P171" s="1">
        <v>9.0</v>
      </c>
      <c r="Q171" s="1">
        <v>0.0</v>
      </c>
      <c r="R171" s="1">
        <v>1676838.0</v>
      </c>
      <c r="S171" s="1">
        <v>1676838.0</v>
      </c>
      <c r="T171" s="1">
        <v>1676838.0</v>
      </c>
      <c r="U171" s="1">
        <v>1676838.0</v>
      </c>
      <c r="V171" s="1">
        <v>1676838.0</v>
      </c>
    </row>
    <row r="172" ht="15.75" customHeight="1">
      <c r="A172" s="1">
        <v>12.0</v>
      </c>
      <c r="B172" s="1" t="s">
        <v>22</v>
      </c>
      <c r="C172" s="1">
        <v>2.0</v>
      </c>
      <c r="D172" s="1">
        <v>3.0</v>
      </c>
      <c r="E172" s="1">
        <v>3.0</v>
      </c>
      <c r="F172" s="1">
        <v>0.0</v>
      </c>
      <c r="G172" s="1">
        <v>19.0</v>
      </c>
      <c r="H172" s="1" t="str">
        <f t="shared" si="2"/>
        <v>E010</v>
      </c>
      <c r="I172" s="1" t="s">
        <v>42</v>
      </c>
      <c r="J172" s="1">
        <v>10.0</v>
      </c>
      <c r="K172" s="2">
        <v>2000.0</v>
      </c>
      <c r="L172" s="1">
        <v>21101.0</v>
      </c>
      <c r="M172" s="1" t="str">
        <f>VLOOKUP(L172,'Catálogos'!$A$2:$B$492,2,0)</f>
        <v>Materiales y útiles de oficina</v>
      </c>
      <c r="N172" s="1">
        <v>1.0</v>
      </c>
      <c r="O172" s="1">
        <v>4.0</v>
      </c>
      <c r="P172" s="1">
        <v>9.0</v>
      </c>
      <c r="Q172" s="1">
        <v>0.0</v>
      </c>
      <c r="R172" s="1">
        <v>2500.0</v>
      </c>
      <c r="S172" s="1">
        <v>22193.0</v>
      </c>
      <c r="T172" s="1">
        <v>9547.0</v>
      </c>
      <c r="U172" s="1">
        <v>9547.0</v>
      </c>
      <c r="V172" s="1">
        <v>9547.0</v>
      </c>
    </row>
    <row r="173" ht="15.75" customHeight="1">
      <c r="A173" s="1">
        <v>12.0</v>
      </c>
      <c r="B173" s="1" t="s">
        <v>22</v>
      </c>
      <c r="C173" s="1">
        <v>2.0</v>
      </c>
      <c r="D173" s="1">
        <v>3.0</v>
      </c>
      <c r="E173" s="1">
        <v>3.0</v>
      </c>
      <c r="F173" s="1">
        <v>0.0</v>
      </c>
      <c r="G173" s="1">
        <v>19.0</v>
      </c>
      <c r="H173" s="1" t="str">
        <f t="shared" si="2"/>
        <v>E010</v>
      </c>
      <c r="I173" s="1" t="s">
        <v>42</v>
      </c>
      <c r="J173" s="1">
        <v>10.0</v>
      </c>
      <c r="K173" s="2">
        <v>2000.0</v>
      </c>
      <c r="L173" s="1">
        <v>21601.0</v>
      </c>
      <c r="M173" s="1" t="str">
        <f>VLOOKUP(L173,'Catálogos'!$A$2:$B$492,2,0)</f>
        <v>Material de limpieza</v>
      </c>
      <c r="N173" s="1">
        <v>1.0</v>
      </c>
      <c r="O173" s="1">
        <v>4.0</v>
      </c>
      <c r="P173" s="1">
        <v>9.0</v>
      </c>
      <c r="Q173" s="1">
        <v>0.0</v>
      </c>
      <c r="R173" s="1">
        <v>200.0</v>
      </c>
      <c r="S173" s="1">
        <v>360.0</v>
      </c>
      <c r="T173" s="1">
        <v>360.0</v>
      </c>
      <c r="U173" s="1">
        <v>360.0</v>
      </c>
      <c r="V173" s="1">
        <v>360.0</v>
      </c>
    </row>
    <row r="174" ht="15.75" customHeight="1">
      <c r="A174" s="1">
        <v>12.0</v>
      </c>
      <c r="B174" s="1" t="s">
        <v>22</v>
      </c>
      <c r="C174" s="1">
        <v>2.0</v>
      </c>
      <c r="D174" s="1">
        <v>3.0</v>
      </c>
      <c r="E174" s="1">
        <v>3.0</v>
      </c>
      <c r="F174" s="1">
        <v>0.0</v>
      </c>
      <c r="G174" s="1">
        <v>19.0</v>
      </c>
      <c r="H174" s="1" t="str">
        <f t="shared" si="2"/>
        <v>E010</v>
      </c>
      <c r="I174" s="1" t="s">
        <v>42</v>
      </c>
      <c r="J174" s="1">
        <v>10.0</v>
      </c>
      <c r="K174" s="2">
        <v>2000.0</v>
      </c>
      <c r="L174" s="1">
        <v>22104.0</v>
      </c>
      <c r="M174" s="1" t="str">
        <f>VLOOKUP(L174,'Catálogos'!$A$2:$B$492,2,0)</f>
        <v>Productos alimenticios para el personal en las instalaciones de las dependencias y entidades</v>
      </c>
      <c r="N174" s="1">
        <v>1.0</v>
      </c>
      <c r="O174" s="1">
        <v>4.0</v>
      </c>
      <c r="P174" s="1">
        <v>9.0</v>
      </c>
      <c r="Q174" s="1">
        <v>0.0</v>
      </c>
      <c r="R174" s="1">
        <v>20000.0</v>
      </c>
      <c r="S174" s="1">
        <v>26636.0</v>
      </c>
      <c r="T174" s="1">
        <v>26506.0</v>
      </c>
      <c r="U174" s="1">
        <v>26506.0</v>
      </c>
      <c r="V174" s="1">
        <v>26506.0</v>
      </c>
    </row>
    <row r="175" ht="15.75" customHeight="1">
      <c r="A175" s="1">
        <v>12.0</v>
      </c>
      <c r="B175" s="1" t="s">
        <v>22</v>
      </c>
      <c r="C175" s="1">
        <v>2.0</v>
      </c>
      <c r="D175" s="1">
        <v>3.0</v>
      </c>
      <c r="E175" s="1">
        <v>3.0</v>
      </c>
      <c r="F175" s="1">
        <v>0.0</v>
      </c>
      <c r="G175" s="1">
        <v>19.0</v>
      </c>
      <c r="H175" s="1" t="str">
        <f t="shared" si="2"/>
        <v>E010</v>
      </c>
      <c r="I175" s="1" t="s">
        <v>42</v>
      </c>
      <c r="J175" s="1">
        <v>10.0</v>
      </c>
      <c r="K175" s="2">
        <v>2000.0</v>
      </c>
      <c r="L175" s="1">
        <v>24601.0</v>
      </c>
      <c r="M175" s="1" t="str">
        <f>VLOOKUP(L175,'Catálogos'!$A$2:$B$492,2,0)</f>
        <v>Material eléctrico y electrónico</v>
      </c>
      <c r="N175" s="1">
        <v>1.0</v>
      </c>
      <c r="O175" s="1">
        <v>4.0</v>
      </c>
      <c r="P175" s="1">
        <v>9.0</v>
      </c>
      <c r="Q175" s="1">
        <v>0.0</v>
      </c>
      <c r="R175" s="1">
        <v>2000.0</v>
      </c>
      <c r="S175" s="1">
        <v>2000.0</v>
      </c>
      <c r="T175" s="1">
        <v>150.0</v>
      </c>
      <c r="U175" s="1">
        <v>150.0</v>
      </c>
      <c r="V175" s="1">
        <v>150.0</v>
      </c>
    </row>
    <row r="176" ht="15.75" customHeight="1">
      <c r="A176" s="1">
        <v>12.0</v>
      </c>
      <c r="B176" s="1" t="s">
        <v>22</v>
      </c>
      <c r="C176" s="1">
        <v>2.0</v>
      </c>
      <c r="D176" s="1">
        <v>3.0</v>
      </c>
      <c r="E176" s="1">
        <v>3.0</v>
      </c>
      <c r="F176" s="1">
        <v>0.0</v>
      </c>
      <c r="G176" s="1">
        <v>19.0</v>
      </c>
      <c r="H176" s="1" t="str">
        <f t="shared" si="2"/>
        <v>E010</v>
      </c>
      <c r="I176" s="1" t="s">
        <v>42</v>
      </c>
      <c r="J176" s="1">
        <v>10.0</v>
      </c>
      <c r="K176" s="2">
        <v>2000.0</v>
      </c>
      <c r="L176" s="1">
        <v>24701.0</v>
      </c>
      <c r="M176" s="1" t="str">
        <f>VLOOKUP(L176,'Catálogos'!$A$2:$B$492,2,0)</f>
        <v>Artículos metálicos para la construcción</v>
      </c>
      <c r="N176" s="1">
        <v>1.0</v>
      </c>
      <c r="O176" s="1">
        <v>4.0</v>
      </c>
      <c r="P176" s="1">
        <v>9.0</v>
      </c>
      <c r="Q176" s="1">
        <v>0.0</v>
      </c>
      <c r="R176" s="1">
        <v>2000.0</v>
      </c>
      <c r="S176" s="1">
        <v>1243.0</v>
      </c>
      <c r="T176" s="1">
        <v>0.0</v>
      </c>
      <c r="U176" s="1">
        <v>0.0</v>
      </c>
      <c r="V176" s="1">
        <v>0.0</v>
      </c>
    </row>
    <row r="177" ht="15.75" customHeight="1">
      <c r="A177" s="1">
        <v>12.0</v>
      </c>
      <c r="B177" s="1" t="s">
        <v>22</v>
      </c>
      <c r="C177" s="1">
        <v>2.0</v>
      </c>
      <c r="D177" s="1">
        <v>3.0</v>
      </c>
      <c r="E177" s="1">
        <v>3.0</v>
      </c>
      <c r="F177" s="1">
        <v>0.0</v>
      </c>
      <c r="G177" s="1">
        <v>19.0</v>
      </c>
      <c r="H177" s="1" t="str">
        <f t="shared" si="2"/>
        <v>E010</v>
      </c>
      <c r="I177" s="1" t="s">
        <v>42</v>
      </c>
      <c r="J177" s="1">
        <v>10.0</v>
      </c>
      <c r="K177" s="2">
        <v>2000.0</v>
      </c>
      <c r="L177" s="1">
        <v>24801.0</v>
      </c>
      <c r="M177" s="1" t="str">
        <f>VLOOKUP(L177,'Catálogos'!$A$2:$B$492,2,0)</f>
        <v>Materiales complementarios</v>
      </c>
      <c r="N177" s="1">
        <v>1.0</v>
      </c>
      <c r="O177" s="1">
        <v>4.0</v>
      </c>
      <c r="P177" s="1">
        <v>9.0</v>
      </c>
      <c r="Q177" s="1">
        <v>0.0</v>
      </c>
      <c r="R177" s="1">
        <v>1000.0</v>
      </c>
      <c r="S177" s="1">
        <v>0.0</v>
      </c>
      <c r="T177" s="1">
        <v>0.0</v>
      </c>
      <c r="U177" s="1">
        <v>0.0</v>
      </c>
      <c r="V177" s="1">
        <v>0.0</v>
      </c>
    </row>
    <row r="178" ht="15.75" customHeight="1">
      <c r="A178" s="1">
        <v>12.0</v>
      </c>
      <c r="B178" s="1" t="s">
        <v>22</v>
      </c>
      <c r="C178" s="1">
        <v>2.0</v>
      </c>
      <c r="D178" s="1">
        <v>3.0</v>
      </c>
      <c r="E178" s="1">
        <v>3.0</v>
      </c>
      <c r="F178" s="1">
        <v>0.0</v>
      </c>
      <c r="G178" s="1">
        <v>19.0</v>
      </c>
      <c r="H178" s="1" t="str">
        <f t="shared" si="2"/>
        <v>E010</v>
      </c>
      <c r="I178" s="1" t="s">
        <v>42</v>
      </c>
      <c r="J178" s="1">
        <v>10.0</v>
      </c>
      <c r="K178" s="2">
        <v>2000.0</v>
      </c>
      <c r="L178" s="1">
        <v>24901.0</v>
      </c>
      <c r="M178" s="1" t="str">
        <f>VLOOKUP(L178,'Catálogos'!$A$2:$B$492,2,0)</f>
        <v>Otros materiales y artículos de construcción y reparación</v>
      </c>
      <c r="N178" s="1">
        <v>1.0</v>
      </c>
      <c r="O178" s="1">
        <v>4.0</v>
      </c>
      <c r="P178" s="1">
        <v>9.0</v>
      </c>
      <c r="Q178" s="1">
        <v>0.0</v>
      </c>
      <c r="R178" s="1">
        <v>0.0</v>
      </c>
      <c r="S178" s="1">
        <v>757.0</v>
      </c>
      <c r="T178" s="1">
        <v>757.0</v>
      </c>
      <c r="U178" s="1">
        <v>757.0</v>
      </c>
      <c r="V178" s="1">
        <v>757.0</v>
      </c>
    </row>
    <row r="179" ht="15.75" customHeight="1">
      <c r="A179" s="1">
        <v>12.0</v>
      </c>
      <c r="B179" s="1" t="s">
        <v>22</v>
      </c>
      <c r="C179" s="1">
        <v>2.0</v>
      </c>
      <c r="D179" s="1">
        <v>3.0</v>
      </c>
      <c r="E179" s="1">
        <v>3.0</v>
      </c>
      <c r="F179" s="1">
        <v>0.0</v>
      </c>
      <c r="G179" s="1">
        <v>19.0</v>
      </c>
      <c r="H179" s="1" t="str">
        <f t="shared" si="2"/>
        <v>E010</v>
      </c>
      <c r="I179" s="1" t="s">
        <v>42</v>
      </c>
      <c r="J179" s="1">
        <v>10.0</v>
      </c>
      <c r="K179" s="2">
        <v>2000.0</v>
      </c>
      <c r="L179" s="1">
        <v>29201.0</v>
      </c>
      <c r="M179" s="1" t="str">
        <f>VLOOKUP(L179,'Catálogos'!$A$2:$B$492,2,0)</f>
        <v>Refacciones y accesorios menores de edificios</v>
      </c>
      <c r="N179" s="1">
        <v>1.0</v>
      </c>
      <c r="O179" s="1">
        <v>4.0</v>
      </c>
      <c r="P179" s="1">
        <v>9.0</v>
      </c>
      <c r="Q179" s="1">
        <v>0.0</v>
      </c>
      <c r="R179" s="1">
        <v>0.0</v>
      </c>
      <c r="S179" s="1">
        <v>634.0</v>
      </c>
      <c r="T179" s="1">
        <v>57.0</v>
      </c>
      <c r="U179" s="1">
        <v>57.0</v>
      </c>
      <c r="V179" s="1">
        <v>57.0</v>
      </c>
    </row>
    <row r="180" ht="15.75" customHeight="1">
      <c r="A180" s="1">
        <v>12.0</v>
      </c>
      <c r="B180" s="1" t="s">
        <v>22</v>
      </c>
      <c r="C180" s="1">
        <v>2.0</v>
      </c>
      <c r="D180" s="1">
        <v>3.0</v>
      </c>
      <c r="E180" s="1">
        <v>3.0</v>
      </c>
      <c r="F180" s="1">
        <v>0.0</v>
      </c>
      <c r="G180" s="1">
        <v>19.0</v>
      </c>
      <c r="H180" s="1" t="str">
        <f t="shared" si="2"/>
        <v>E010</v>
      </c>
      <c r="I180" s="1" t="s">
        <v>42</v>
      </c>
      <c r="J180" s="1">
        <v>10.0</v>
      </c>
      <c r="K180" s="2">
        <v>3000.0</v>
      </c>
      <c r="L180" s="1">
        <v>31101.0</v>
      </c>
      <c r="M180" s="1" t="str">
        <f>VLOOKUP(L180,'Catálogos'!$A$2:$B$492,2,0)</f>
        <v>Servicio de energía eléctrica</v>
      </c>
      <c r="N180" s="1">
        <v>1.0</v>
      </c>
      <c r="O180" s="1">
        <v>1.0</v>
      </c>
      <c r="P180" s="1">
        <v>9.0</v>
      </c>
      <c r="Q180" s="1">
        <v>0.0</v>
      </c>
      <c r="R180" s="1">
        <v>1551393.0</v>
      </c>
      <c r="S180" s="1">
        <v>1551393.0</v>
      </c>
      <c r="T180" s="1">
        <v>1551393.0</v>
      </c>
      <c r="U180" s="1">
        <v>1551393.0</v>
      </c>
      <c r="V180" s="1">
        <v>1551393.0</v>
      </c>
    </row>
    <row r="181" ht="15.75" customHeight="1">
      <c r="A181" s="1">
        <v>12.0</v>
      </c>
      <c r="B181" s="1" t="s">
        <v>22</v>
      </c>
      <c r="C181" s="1">
        <v>2.0</v>
      </c>
      <c r="D181" s="1">
        <v>3.0</v>
      </c>
      <c r="E181" s="1">
        <v>3.0</v>
      </c>
      <c r="F181" s="1">
        <v>0.0</v>
      </c>
      <c r="G181" s="1">
        <v>19.0</v>
      </c>
      <c r="H181" s="1" t="str">
        <f t="shared" si="2"/>
        <v>E010</v>
      </c>
      <c r="I181" s="1" t="s">
        <v>42</v>
      </c>
      <c r="J181" s="1">
        <v>10.0</v>
      </c>
      <c r="K181" s="2">
        <v>3000.0</v>
      </c>
      <c r="L181" s="1">
        <v>31101.0</v>
      </c>
      <c r="M181" s="1" t="str">
        <f>VLOOKUP(L181,'Catálogos'!$A$2:$B$492,2,0)</f>
        <v>Servicio de energía eléctrica</v>
      </c>
      <c r="N181" s="1">
        <v>1.0</v>
      </c>
      <c r="O181" s="1">
        <v>4.0</v>
      </c>
      <c r="P181" s="1">
        <v>9.0</v>
      </c>
      <c r="Q181" s="1">
        <v>0.0</v>
      </c>
      <c r="R181" s="1">
        <v>172200.0</v>
      </c>
      <c r="S181" s="1">
        <v>245548.0</v>
      </c>
      <c r="T181" s="1">
        <v>245548.0</v>
      </c>
      <c r="U181" s="1">
        <v>245548.0</v>
      </c>
      <c r="V181" s="1">
        <v>245548.0</v>
      </c>
    </row>
    <row r="182" ht="15.75" customHeight="1">
      <c r="A182" s="1">
        <v>12.0</v>
      </c>
      <c r="B182" s="1" t="s">
        <v>22</v>
      </c>
      <c r="C182" s="1">
        <v>2.0</v>
      </c>
      <c r="D182" s="1">
        <v>3.0</v>
      </c>
      <c r="E182" s="1">
        <v>3.0</v>
      </c>
      <c r="F182" s="1">
        <v>0.0</v>
      </c>
      <c r="G182" s="1">
        <v>19.0</v>
      </c>
      <c r="H182" s="1" t="str">
        <f t="shared" si="2"/>
        <v>E010</v>
      </c>
      <c r="I182" s="1" t="s">
        <v>42</v>
      </c>
      <c r="J182" s="1">
        <v>10.0</v>
      </c>
      <c r="K182" s="2">
        <v>3000.0</v>
      </c>
      <c r="L182" s="1">
        <v>31401.0</v>
      </c>
      <c r="M182" s="1" t="str">
        <f>VLOOKUP(L182,'Catálogos'!$A$2:$B$492,2,0)</f>
        <v>Servicio telefónico convencional</v>
      </c>
      <c r="N182" s="1">
        <v>1.0</v>
      </c>
      <c r="O182" s="1">
        <v>1.0</v>
      </c>
      <c r="P182" s="1">
        <v>9.0</v>
      </c>
      <c r="Q182" s="1">
        <v>0.0</v>
      </c>
      <c r="R182" s="1">
        <v>20118.0</v>
      </c>
      <c r="S182" s="1">
        <v>20118.0</v>
      </c>
      <c r="T182" s="1">
        <v>20118.0</v>
      </c>
      <c r="U182" s="1">
        <v>20118.0</v>
      </c>
      <c r="V182" s="1">
        <v>20118.0</v>
      </c>
    </row>
    <row r="183" ht="15.75" customHeight="1">
      <c r="A183" s="1">
        <v>12.0</v>
      </c>
      <c r="B183" s="1" t="s">
        <v>22</v>
      </c>
      <c r="C183" s="1">
        <v>2.0</v>
      </c>
      <c r="D183" s="1">
        <v>3.0</v>
      </c>
      <c r="E183" s="1">
        <v>3.0</v>
      </c>
      <c r="F183" s="1">
        <v>0.0</v>
      </c>
      <c r="G183" s="1">
        <v>19.0</v>
      </c>
      <c r="H183" s="1" t="str">
        <f t="shared" si="2"/>
        <v>E010</v>
      </c>
      <c r="I183" s="1" t="s">
        <v>42</v>
      </c>
      <c r="J183" s="1">
        <v>10.0</v>
      </c>
      <c r="K183" s="2">
        <v>3000.0</v>
      </c>
      <c r="L183" s="1">
        <v>31401.0</v>
      </c>
      <c r="M183" s="1" t="str">
        <f>VLOOKUP(L183,'Catálogos'!$A$2:$B$492,2,0)</f>
        <v>Servicio telefónico convencional</v>
      </c>
      <c r="N183" s="1">
        <v>1.0</v>
      </c>
      <c r="O183" s="1">
        <v>4.0</v>
      </c>
      <c r="P183" s="1">
        <v>9.0</v>
      </c>
      <c r="Q183" s="1">
        <v>0.0</v>
      </c>
      <c r="R183" s="1">
        <v>3778.0</v>
      </c>
      <c r="S183" s="1">
        <v>1889.0</v>
      </c>
      <c r="T183" s="1">
        <v>1889.0</v>
      </c>
      <c r="U183" s="1">
        <v>1889.0</v>
      </c>
      <c r="V183" s="1">
        <v>1889.0</v>
      </c>
    </row>
    <row r="184" ht="15.75" customHeight="1">
      <c r="A184" s="1">
        <v>12.0</v>
      </c>
      <c r="B184" s="1" t="s">
        <v>22</v>
      </c>
      <c r="C184" s="1">
        <v>2.0</v>
      </c>
      <c r="D184" s="1">
        <v>3.0</v>
      </c>
      <c r="E184" s="1">
        <v>3.0</v>
      </c>
      <c r="F184" s="1">
        <v>0.0</v>
      </c>
      <c r="G184" s="1">
        <v>19.0</v>
      </c>
      <c r="H184" s="1" t="str">
        <f t="shared" si="2"/>
        <v>E010</v>
      </c>
      <c r="I184" s="1" t="s">
        <v>42</v>
      </c>
      <c r="J184" s="1">
        <v>10.0</v>
      </c>
      <c r="K184" s="2">
        <v>3000.0</v>
      </c>
      <c r="L184" s="1">
        <v>31701.0</v>
      </c>
      <c r="M184" s="1" t="str">
        <f>VLOOKUP(L184,'Catálogos'!$A$2:$B$492,2,0)</f>
        <v>Servicios de conducción de señales analógicas y digitales</v>
      </c>
      <c r="N184" s="1">
        <v>1.0</v>
      </c>
      <c r="O184" s="1">
        <v>1.0</v>
      </c>
      <c r="P184" s="1">
        <v>9.0</v>
      </c>
      <c r="Q184" s="1">
        <v>0.0</v>
      </c>
      <c r="R184" s="1">
        <v>25786.0</v>
      </c>
      <c r="S184" s="1">
        <v>11571.0</v>
      </c>
      <c r="T184" s="1">
        <v>11571.0</v>
      </c>
      <c r="U184" s="1">
        <v>11571.0</v>
      </c>
      <c r="V184" s="1">
        <v>11571.0</v>
      </c>
    </row>
    <row r="185" ht="15.75" customHeight="1">
      <c r="A185" s="1">
        <v>12.0</v>
      </c>
      <c r="B185" s="1" t="s">
        <v>22</v>
      </c>
      <c r="C185" s="1">
        <v>2.0</v>
      </c>
      <c r="D185" s="1">
        <v>3.0</v>
      </c>
      <c r="E185" s="1">
        <v>3.0</v>
      </c>
      <c r="F185" s="1">
        <v>0.0</v>
      </c>
      <c r="G185" s="1">
        <v>19.0</v>
      </c>
      <c r="H185" s="1" t="str">
        <f t="shared" si="2"/>
        <v>E010</v>
      </c>
      <c r="I185" s="1" t="s">
        <v>42</v>
      </c>
      <c r="J185" s="1">
        <v>10.0</v>
      </c>
      <c r="K185" s="2">
        <v>3000.0</v>
      </c>
      <c r="L185" s="1">
        <v>31701.0</v>
      </c>
      <c r="M185" s="1" t="str">
        <f>VLOOKUP(L185,'Catálogos'!$A$2:$B$492,2,0)</f>
        <v>Servicios de conducción de señales analógicas y digitales</v>
      </c>
      <c r="N185" s="1">
        <v>1.0</v>
      </c>
      <c r="O185" s="1">
        <v>4.0</v>
      </c>
      <c r="P185" s="1">
        <v>9.0</v>
      </c>
      <c r="Q185" s="1">
        <v>0.0</v>
      </c>
      <c r="R185" s="1">
        <v>26000.0</v>
      </c>
      <c r="S185" s="1">
        <v>0.0</v>
      </c>
      <c r="T185" s="1">
        <v>0.0</v>
      </c>
      <c r="U185" s="1">
        <v>0.0</v>
      </c>
      <c r="V185" s="1">
        <v>0.0</v>
      </c>
    </row>
    <row r="186" ht="15.75" customHeight="1">
      <c r="A186" s="1">
        <v>12.0</v>
      </c>
      <c r="B186" s="1" t="s">
        <v>22</v>
      </c>
      <c r="C186" s="1">
        <v>2.0</v>
      </c>
      <c r="D186" s="1">
        <v>3.0</v>
      </c>
      <c r="E186" s="1">
        <v>3.0</v>
      </c>
      <c r="F186" s="1">
        <v>0.0</v>
      </c>
      <c r="G186" s="1">
        <v>19.0</v>
      </c>
      <c r="H186" s="1" t="str">
        <f t="shared" si="2"/>
        <v>E010</v>
      </c>
      <c r="I186" s="1" t="s">
        <v>42</v>
      </c>
      <c r="J186" s="1">
        <v>10.0</v>
      </c>
      <c r="K186" s="2">
        <v>3000.0</v>
      </c>
      <c r="L186" s="1">
        <v>31801.0</v>
      </c>
      <c r="M186" s="1" t="str">
        <f>VLOOKUP(L186,'Catálogos'!$A$2:$B$492,2,0)</f>
        <v>Servicio postal</v>
      </c>
      <c r="N186" s="1">
        <v>1.0</v>
      </c>
      <c r="O186" s="1">
        <v>4.0</v>
      </c>
      <c r="P186" s="1">
        <v>9.0</v>
      </c>
      <c r="Q186" s="1">
        <v>0.0</v>
      </c>
      <c r="R186" s="1">
        <v>200.0</v>
      </c>
      <c r="S186" s="1">
        <v>200.0</v>
      </c>
      <c r="T186" s="1">
        <v>22.0</v>
      </c>
      <c r="U186" s="1">
        <v>22.0</v>
      </c>
      <c r="V186" s="1">
        <v>22.0</v>
      </c>
    </row>
    <row r="187" ht="15.75" customHeight="1">
      <c r="A187" s="1">
        <v>12.0</v>
      </c>
      <c r="B187" s="1" t="s">
        <v>22</v>
      </c>
      <c r="C187" s="1">
        <v>2.0</v>
      </c>
      <c r="D187" s="1">
        <v>3.0</v>
      </c>
      <c r="E187" s="1">
        <v>3.0</v>
      </c>
      <c r="F187" s="1">
        <v>0.0</v>
      </c>
      <c r="G187" s="1">
        <v>19.0</v>
      </c>
      <c r="H187" s="1" t="str">
        <f t="shared" si="2"/>
        <v>E010</v>
      </c>
      <c r="I187" s="1" t="s">
        <v>42</v>
      </c>
      <c r="J187" s="1">
        <v>10.0</v>
      </c>
      <c r="K187" s="2">
        <v>3000.0</v>
      </c>
      <c r="L187" s="1">
        <v>32301.0</v>
      </c>
      <c r="M187" s="1" t="str">
        <f>VLOOKUP(L187,'Catálogos'!$A$2:$B$492,2,0)</f>
        <v>Arrendamiento de equipo y bienes informáticos</v>
      </c>
      <c r="N187" s="1">
        <v>1.0</v>
      </c>
      <c r="O187" s="1">
        <v>1.0</v>
      </c>
      <c r="P187" s="1">
        <v>9.0</v>
      </c>
      <c r="Q187" s="1">
        <v>0.0</v>
      </c>
      <c r="R187" s="1">
        <v>223610.0</v>
      </c>
      <c r="S187" s="1">
        <v>1387553.0</v>
      </c>
      <c r="T187" s="1">
        <v>1387553.0</v>
      </c>
      <c r="U187" s="1">
        <v>1387553.0</v>
      </c>
      <c r="V187" s="1">
        <v>1387553.0</v>
      </c>
    </row>
    <row r="188" ht="15.75" customHeight="1">
      <c r="A188" s="1">
        <v>12.0</v>
      </c>
      <c r="B188" s="1" t="s">
        <v>22</v>
      </c>
      <c r="C188" s="1">
        <v>2.0</v>
      </c>
      <c r="D188" s="1">
        <v>3.0</v>
      </c>
      <c r="E188" s="1">
        <v>3.0</v>
      </c>
      <c r="F188" s="1">
        <v>0.0</v>
      </c>
      <c r="G188" s="1">
        <v>19.0</v>
      </c>
      <c r="H188" s="1" t="str">
        <f t="shared" si="2"/>
        <v>E010</v>
      </c>
      <c r="I188" s="1" t="s">
        <v>42</v>
      </c>
      <c r="J188" s="1">
        <v>10.0</v>
      </c>
      <c r="K188" s="2">
        <v>3000.0</v>
      </c>
      <c r="L188" s="1">
        <v>32301.0</v>
      </c>
      <c r="M188" s="1" t="str">
        <f>VLOOKUP(L188,'Catálogos'!$A$2:$B$492,2,0)</f>
        <v>Arrendamiento de equipo y bienes informáticos</v>
      </c>
      <c r="N188" s="1">
        <v>1.0</v>
      </c>
      <c r="O188" s="1">
        <v>4.0</v>
      </c>
      <c r="P188" s="1">
        <v>9.0</v>
      </c>
      <c r="Q188" s="1">
        <v>0.0</v>
      </c>
      <c r="R188" s="1">
        <v>47308.0</v>
      </c>
      <c r="S188" s="1">
        <v>0.0</v>
      </c>
      <c r="T188" s="1">
        <v>0.0</v>
      </c>
      <c r="U188" s="1">
        <v>0.0</v>
      </c>
      <c r="V188" s="1">
        <v>0.0</v>
      </c>
    </row>
    <row r="189" ht="15.75" customHeight="1">
      <c r="A189" s="1">
        <v>12.0</v>
      </c>
      <c r="B189" s="1" t="s">
        <v>22</v>
      </c>
      <c r="C189" s="1">
        <v>2.0</v>
      </c>
      <c r="D189" s="1">
        <v>3.0</v>
      </c>
      <c r="E189" s="1">
        <v>3.0</v>
      </c>
      <c r="F189" s="1">
        <v>0.0</v>
      </c>
      <c r="G189" s="1">
        <v>19.0</v>
      </c>
      <c r="H189" s="1" t="str">
        <f t="shared" si="2"/>
        <v>E010</v>
      </c>
      <c r="I189" s="1" t="s">
        <v>42</v>
      </c>
      <c r="J189" s="1">
        <v>10.0</v>
      </c>
      <c r="K189" s="2">
        <v>3000.0</v>
      </c>
      <c r="L189" s="1">
        <v>32701.0</v>
      </c>
      <c r="M189" s="1" t="str">
        <f>VLOOKUP(L189,'Catálogos'!$A$2:$B$492,2,0)</f>
        <v>Patentes, derechos de autor, regalías y otros</v>
      </c>
      <c r="N189" s="1">
        <v>1.0</v>
      </c>
      <c r="O189" s="1">
        <v>4.0</v>
      </c>
      <c r="P189" s="1">
        <v>9.0</v>
      </c>
      <c r="Q189" s="1">
        <v>0.0</v>
      </c>
      <c r="R189" s="1">
        <v>20000.0</v>
      </c>
      <c r="S189" s="1">
        <v>32784.0</v>
      </c>
      <c r="T189" s="1">
        <v>32783.0</v>
      </c>
      <c r="U189" s="1">
        <v>32783.0</v>
      </c>
      <c r="V189" s="1">
        <v>32783.0</v>
      </c>
    </row>
    <row r="190" ht="15.75" customHeight="1">
      <c r="A190" s="1">
        <v>12.0</v>
      </c>
      <c r="B190" s="1" t="s">
        <v>22</v>
      </c>
      <c r="C190" s="1">
        <v>2.0</v>
      </c>
      <c r="D190" s="1">
        <v>3.0</v>
      </c>
      <c r="E190" s="1">
        <v>3.0</v>
      </c>
      <c r="F190" s="1">
        <v>0.0</v>
      </c>
      <c r="G190" s="1">
        <v>19.0</v>
      </c>
      <c r="H190" s="1" t="str">
        <f t="shared" si="2"/>
        <v>E010</v>
      </c>
      <c r="I190" s="1" t="s">
        <v>42</v>
      </c>
      <c r="J190" s="1">
        <v>10.0</v>
      </c>
      <c r="K190" s="2">
        <v>3000.0</v>
      </c>
      <c r="L190" s="1">
        <v>33401.0</v>
      </c>
      <c r="M190" s="1" t="str">
        <f>VLOOKUP(L190,'Catálogos'!$A$2:$B$492,2,0)</f>
        <v>Servicios para capacitación a servidores públicos</v>
      </c>
      <c r="N190" s="1">
        <v>1.0</v>
      </c>
      <c r="O190" s="1">
        <v>1.0</v>
      </c>
      <c r="P190" s="1">
        <v>9.0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</row>
    <row r="191" ht="15.75" customHeight="1">
      <c r="A191" s="1">
        <v>12.0</v>
      </c>
      <c r="B191" s="1" t="s">
        <v>22</v>
      </c>
      <c r="C191" s="1">
        <v>2.0</v>
      </c>
      <c r="D191" s="1">
        <v>3.0</v>
      </c>
      <c r="E191" s="1">
        <v>3.0</v>
      </c>
      <c r="F191" s="1">
        <v>0.0</v>
      </c>
      <c r="G191" s="1">
        <v>19.0</v>
      </c>
      <c r="H191" s="1" t="str">
        <f t="shared" si="2"/>
        <v>E010</v>
      </c>
      <c r="I191" s="1" t="s">
        <v>42</v>
      </c>
      <c r="J191" s="1">
        <v>10.0</v>
      </c>
      <c r="K191" s="2">
        <v>3000.0</v>
      </c>
      <c r="L191" s="1">
        <v>33401.0</v>
      </c>
      <c r="M191" s="1" t="str">
        <f>VLOOKUP(L191,'Catálogos'!$A$2:$B$492,2,0)</f>
        <v>Servicios para capacitación a servidores públicos</v>
      </c>
      <c r="N191" s="1">
        <v>1.0</v>
      </c>
      <c r="O191" s="1">
        <v>4.0</v>
      </c>
      <c r="P191" s="1">
        <v>9.0</v>
      </c>
      <c r="Q191" s="1">
        <v>0.0</v>
      </c>
      <c r="R191" s="1">
        <v>641380.0</v>
      </c>
      <c r="S191" s="1">
        <v>966177.0</v>
      </c>
      <c r="T191" s="1">
        <v>711070.0</v>
      </c>
      <c r="U191" s="1">
        <v>711070.0</v>
      </c>
      <c r="V191" s="1">
        <v>711070.0</v>
      </c>
    </row>
    <row r="192" ht="15.75" customHeight="1">
      <c r="A192" s="1">
        <v>12.0</v>
      </c>
      <c r="B192" s="1" t="s">
        <v>22</v>
      </c>
      <c r="C192" s="1">
        <v>2.0</v>
      </c>
      <c r="D192" s="1">
        <v>3.0</v>
      </c>
      <c r="E192" s="1">
        <v>3.0</v>
      </c>
      <c r="F192" s="1">
        <v>0.0</v>
      </c>
      <c r="G192" s="1">
        <v>19.0</v>
      </c>
      <c r="H192" s="1" t="str">
        <f t="shared" si="2"/>
        <v>E010</v>
      </c>
      <c r="I192" s="1" t="s">
        <v>42</v>
      </c>
      <c r="J192" s="1">
        <v>10.0</v>
      </c>
      <c r="K192" s="2">
        <v>3000.0</v>
      </c>
      <c r="L192" s="1">
        <v>33604.0</v>
      </c>
      <c r="M192" s="1" t="str">
        <f>VLOOKUP(L192,'Catálogos'!$A$2:$B$492,2,0)</f>
        <v>Impresión y elaboración de material informativo derivado de la operación y administración de las dependencias y entidades</v>
      </c>
      <c r="N192" s="1">
        <v>1.0</v>
      </c>
      <c r="O192" s="1">
        <v>4.0</v>
      </c>
      <c r="P192" s="1">
        <v>9.0</v>
      </c>
      <c r="Q192" s="1">
        <v>0.0</v>
      </c>
      <c r="R192" s="1">
        <v>2000.0</v>
      </c>
      <c r="S192" s="1">
        <v>2000.0</v>
      </c>
      <c r="T192" s="1">
        <v>2000.0</v>
      </c>
      <c r="U192" s="1">
        <v>2000.0</v>
      </c>
      <c r="V192" s="1">
        <v>2000.0</v>
      </c>
    </row>
    <row r="193" ht="15.75" customHeight="1">
      <c r="A193" s="1">
        <v>12.0</v>
      </c>
      <c r="B193" s="1" t="s">
        <v>22</v>
      </c>
      <c r="C193" s="1">
        <v>2.0</v>
      </c>
      <c r="D193" s="1">
        <v>3.0</v>
      </c>
      <c r="E193" s="1">
        <v>3.0</v>
      </c>
      <c r="F193" s="1">
        <v>0.0</v>
      </c>
      <c r="G193" s="1">
        <v>19.0</v>
      </c>
      <c r="H193" s="1" t="str">
        <f t="shared" si="2"/>
        <v>E010</v>
      </c>
      <c r="I193" s="1" t="s">
        <v>42</v>
      </c>
      <c r="J193" s="1">
        <v>10.0</v>
      </c>
      <c r="K193" s="2">
        <v>3000.0</v>
      </c>
      <c r="L193" s="1">
        <v>33801.0</v>
      </c>
      <c r="M193" s="1" t="str">
        <f>VLOOKUP(L193,'Catálogos'!$A$2:$B$492,2,0)</f>
        <v>Servicios de vigilancia</v>
      </c>
      <c r="N193" s="1">
        <v>1.0</v>
      </c>
      <c r="O193" s="1">
        <v>1.0</v>
      </c>
      <c r="P193" s="1">
        <v>9.0</v>
      </c>
      <c r="Q193" s="1">
        <v>0.0</v>
      </c>
      <c r="R193" s="1">
        <v>3092462.0</v>
      </c>
      <c r="S193" s="1">
        <v>2964549.0</v>
      </c>
      <c r="T193" s="1">
        <v>2964549.0</v>
      </c>
      <c r="U193" s="1">
        <v>2964549.0</v>
      </c>
      <c r="V193" s="1">
        <v>2964549.0</v>
      </c>
    </row>
    <row r="194" ht="15.75" customHeight="1">
      <c r="A194" s="1">
        <v>12.0</v>
      </c>
      <c r="B194" s="1" t="s">
        <v>22</v>
      </c>
      <c r="C194" s="1">
        <v>2.0</v>
      </c>
      <c r="D194" s="1">
        <v>3.0</v>
      </c>
      <c r="E194" s="1">
        <v>3.0</v>
      </c>
      <c r="F194" s="1">
        <v>0.0</v>
      </c>
      <c r="G194" s="1">
        <v>19.0</v>
      </c>
      <c r="H194" s="1" t="str">
        <f t="shared" si="2"/>
        <v>E010</v>
      </c>
      <c r="I194" s="1" t="s">
        <v>42</v>
      </c>
      <c r="J194" s="1">
        <v>10.0</v>
      </c>
      <c r="K194" s="2">
        <v>3000.0</v>
      </c>
      <c r="L194" s="1">
        <v>33801.0</v>
      </c>
      <c r="M194" s="1" t="str">
        <f>VLOOKUP(L194,'Catálogos'!$A$2:$B$492,2,0)</f>
        <v>Servicios de vigilancia</v>
      </c>
      <c r="N194" s="1">
        <v>1.0</v>
      </c>
      <c r="O194" s="1">
        <v>4.0</v>
      </c>
      <c r="P194" s="1">
        <v>9.0</v>
      </c>
      <c r="Q194" s="1">
        <v>0.0</v>
      </c>
      <c r="R194" s="1">
        <v>255000.0</v>
      </c>
      <c r="S194" s="1">
        <v>0.0</v>
      </c>
      <c r="T194" s="1">
        <v>0.0</v>
      </c>
      <c r="U194" s="1">
        <v>0.0</v>
      </c>
      <c r="V194" s="1">
        <v>0.0</v>
      </c>
    </row>
    <row r="195" ht="15.75" customHeight="1">
      <c r="A195" s="1">
        <v>12.0</v>
      </c>
      <c r="B195" s="1" t="s">
        <v>22</v>
      </c>
      <c r="C195" s="1">
        <v>2.0</v>
      </c>
      <c r="D195" s="1">
        <v>3.0</v>
      </c>
      <c r="E195" s="1">
        <v>3.0</v>
      </c>
      <c r="F195" s="1">
        <v>0.0</v>
      </c>
      <c r="G195" s="1">
        <v>19.0</v>
      </c>
      <c r="H195" s="1" t="str">
        <f t="shared" si="2"/>
        <v>E010</v>
      </c>
      <c r="I195" s="1" t="s">
        <v>42</v>
      </c>
      <c r="J195" s="1">
        <v>10.0</v>
      </c>
      <c r="K195" s="2">
        <v>3000.0</v>
      </c>
      <c r="L195" s="1">
        <v>33901.0</v>
      </c>
      <c r="M195" s="1" t="str">
        <f>VLOOKUP(L195,'Catálogos'!$A$2:$B$492,2,0)</f>
        <v>Subcontratación de servicios con terceros</v>
      </c>
      <c r="N195" s="1">
        <v>1.0</v>
      </c>
      <c r="O195" s="1">
        <v>1.0</v>
      </c>
      <c r="P195" s="1">
        <v>9.0</v>
      </c>
      <c r="Q195" s="1">
        <v>0.0</v>
      </c>
      <c r="R195" s="1">
        <v>2567736.0</v>
      </c>
      <c r="S195" s="1">
        <v>2331149.0</v>
      </c>
      <c r="T195" s="1">
        <v>2331149.0</v>
      </c>
      <c r="U195" s="1">
        <v>2331149.0</v>
      </c>
      <c r="V195" s="1">
        <v>2331149.0</v>
      </c>
    </row>
    <row r="196" ht="15.75" customHeight="1">
      <c r="A196" s="1">
        <v>12.0</v>
      </c>
      <c r="B196" s="1" t="s">
        <v>22</v>
      </c>
      <c r="C196" s="1">
        <v>2.0</v>
      </c>
      <c r="D196" s="1">
        <v>3.0</v>
      </c>
      <c r="E196" s="1">
        <v>3.0</v>
      </c>
      <c r="F196" s="1">
        <v>0.0</v>
      </c>
      <c r="G196" s="1">
        <v>19.0</v>
      </c>
      <c r="H196" s="1" t="str">
        <f t="shared" si="2"/>
        <v>E010</v>
      </c>
      <c r="I196" s="1" t="s">
        <v>42</v>
      </c>
      <c r="J196" s="1">
        <v>10.0</v>
      </c>
      <c r="K196" s="2">
        <v>3000.0</v>
      </c>
      <c r="L196" s="1">
        <v>33901.0</v>
      </c>
      <c r="M196" s="1" t="str">
        <f>VLOOKUP(L196,'Catálogos'!$A$2:$B$492,2,0)</f>
        <v>Subcontratación de servicios con terceros</v>
      </c>
      <c r="N196" s="1">
        <v>1.0</v>
      </c>
      <c r="O196" s="1">
        <v>4.0</v>
      </c>
      <c r="P196" s="1">
        <v>9.0</v>
      </c>
      <c r="Q196" s="1">
        <v>0.0</v>
      </c>
      <c r="R196" s="1">
        <v>100000.0</v>
      </c>
      <c r="S196" s="1">
        <v>105345.0</v>
      </c>
      <c r="T196" s="1">
        <v>71886.0</v>
      </c>
      <c r="U196" s="1">
        <v>71886.0</v>
      </c>
      <c r="V196" s="1">
        <v>71886.0</v>
      </c>
    </row>
    <row r="197" ht="15.75" customHeight="1">
      <c r="A197" s="1">
        <v>12.0</v>
      </c>
      <c r="B197" s="1" t="s">
        <v>22</v>
      </c>
      <c r="C197" s="1">
        <v>2.0</v>
      </c>
      <c r="D197" s="1">
        <v>3.0</v>
      </c>
      <c r="E197" s="1">
        <v>3.0</v>
      </c>
      <c r="F197" s="1">
        <v>0.0</v>
      </c>
      <c r="G197" s="1">
        <v>19.0</v>
      </c>
      <c r="H197" s="1" t="str">
        <f t="shared" si="2"/>
        <v>E010</v>
      </c>
      <c r="I197" s="1" t="s">
        <v>42</v>
      </c>
      <c r="J197" s="1">
        <v>10.0</v>
      </c>
      <c r="K197" s="2">
        <v>3000.0</v>
      </c>
      <c r="L197" s="1">
        <v>34501.0</v>
      </c>
      <c r="M197" s="1" t="str">
        <f>VLOOKUP(L197,'Catálogos'!$A$2:$B$492,2,0)</f>
        <v>Seguros de bienes patrimoniales</v>
      </c>
      <c r="N197" s="1">
        <v>1.0</v>
      </c>
      <c r="O197" s="1">
        <v>1.0</v>
      </c>
      <c r="P197" s="1">
        <v>9.0</v>
      </c>
      <c r="Q197" s="1">
        <v>0.0</v>
      </c>
      <c r="R197" s="1">
        <v>395335.0</v>
      </c>
      <c r="S197" s="1">
        <v>99957.0</v>
      </c>
      <c r="T197" s="1">
        <v>99957.0</v>
      </c>
      <c r="U197" s="1">
        <v>99957.0</v>
      </c>
      <c r="V197" s="1">
        <v>99957.0</v>
      </c>
    </row>
    <row r="198" ht="15.75" customHeight="1">
      <c r="A198" s="1">
        <v>12.0</v>
      </c>
      <c r="B198" s="1" t="s">
        <v>22</v>
      </c>
      <c r="C198" s="1">
        <v>2.0</v>
      </c>
      <c r="D198" s="1">
        <v>3.0</v>
      </c>
      <c r="E198" s="1">
        <v>3.0</v>
      </c>
      <c r="F198" s="1">
        <v>0.0</v>
      </c>
      <c r="G198" s="1">
        <v>19.0</v>
      </c>
      <c r="H198" s="1" t="str">
        <f t="shared" si="2"/>
        <v>E010</v>
      </c>
      <c r="I198" s="1" t="s">
        <v>42</v>
      </c>
      <c r="J198" s="1">
        <v>10.0</v>
      </c>
      <c r="K198" s="2">
        <v>3000.0</v>
      </c>
      <c r="L198" s="1">
        <v>35301.0</v>
      </c>
      <c r="M198" s="1" t="str">
        <f>VLOOKUP(L198,'Catálogos'!$A$2:$B$492,2,0)</f>
        <v>Mantenimiento y conservación de bienes informáticos</v>
      </c>
      <c r="N198" s="1">
        <v>1.0</v>
      </c>
      <c r="O198" s="1">
        <v>4.0</v>
      </c>
      <c r="P198" s="1">
        <v>9.0</v>
      </c>
      <c r="Q198" s="1">
        <v>0.0</v>
      </c>
      <c r="R198" s="1">
        <v>20000.0</v>
      </c>
      <c r="S198" s="1">
        <v>0.0</v>
      </c>
      <c r="T198" s="1">
        <v>0.0</v>
      </c>
      <c r="U198" s="1">
        <v>0.0</v>
      </c>
      <c r="V198" s="1">
        <v>0.0</v>
      </c>
    </row>
    <row r="199" ht="15.75" customHeight="1">
      <c r="A199" s="1">
        <v>12.0</v>
      </c>
      <c r="B199" s="1" t="s">
        <v>22</v>
      </c>
      <c r="C199" s="1">
        <v>2.0</v>
      </c>
      <c r="D199" s="1">
        <v>3.0</v>
      </c>
      <c r="E199" s="1">
        <v>3.0</v>
      </c>
      <c r="F199" s="1">
        <v>0.0</v>
      </c>
      <c r="G199" s="1">
        <v>19.0</v>
      </c>
      <c r="H199" s="1" t="str">
        <f t="shared" si="2"/>
        <v>E010</v>
      </c>
      <c r="I199" s="1" t="s">
        <v>42</v>
      </c>
      <c r="J199" s="1">
        <v>10.0</v>
      </c>
      <c r="K199" s="2">
        <v>3000.0</v>
      </c>
      <c r="L199" s="1">
        <v>35701.0</v>
      </c>
      <c r="M199" s="1" t="str">
        <f>VLOOKUP(L199,'Catálogos'!$A$2:$B$492,2,0)</f>
        <v>Mantenimiento y conservación de maquinaria y equipo</v>
      </c>
      <c r="N199" s="1">
        <v>1.0</v>
      </c>
      <c r="O199" s="1">
        <v>1.0</v>
      </c>
      <c r="P199" s="1">
        <v>9.0</v>
      </c>
      <c r="Q199" s="1">
        <v>0.0</v>
      </c>
      <c r="R199" s="1">
        <v>0.0</v>
      </c>
      <c r="S199" s="1">
        <v>14161.0</v>
      </c>
      <c r="T199" s="1">
        <v>14161.0</v>
      </c>
      <c r="U199" s="1">
        <v>14161.0</v>
      </c>
      <c r="V199" s="1">
        <v>14161.0</v>
      </c>
    </row>
    <row r="200" ht="15.75" customHeight="1">
      <c r="A200" s="1">
        <v>12.0</v>
      </c>
      <c r="B200" s="1" t="s">
        <v>22</v>
      </c>
      <c r="C200" s="1">
        <v>2.0</v>
      </c>
      <c r="D200" s="1">
        <v>3.0</v>
      </c>
      <c r="E200" s="1">
        <v>3.0</v>
      </c>
      <c r="F200" s="1">
        <v>0.0</v>
      </c>
      <c r="G200" s="1">
        <v>19.0</v>
      </c>
      <c r="H200" s="1" t="str">
        <f t="shared" si="2"/>
        <v>E010</v>
      </c>
      <c r="I200" s="1" t="s">
        <v>42</v>
      </c>
      <c r="J200" s="1">
        <v>10.0</v>
      </c>
      <c r="K200" s="2">
        <v>3000.0</v>
      </c>
      <c r="L200" s="1">
        <v>35801.0</v>
      </c>
      <c r="M200" s="1" t="str">
        <f>VLOOKUP(L200,'Catálogos'!$A$2:$B$492,2,0)</f>
        <v>Servicios de lavandería, limpieza e higiene</v>
      </c>
      <c r="N200" s="1">
        <v>1.0</v>
      </c>
      <c r="O200" s="1">
        <v>1.0</v>
      </c>
      <c r="P200" s="1">
        <v>9.0</v>
      </c>
      <c r="Q200" s="1">
        <v>0.0</v>
      </c>
      <c r="R200" s="1">
        <v>1999674.0</v>
      </c>
      <c r="S200" s="1">
        <v>638364.0</v>
      </c>
      <c r="T200" s="1">
        <v>638364.0</v>
      </c>
      <c r="U200" s="1">
        <v>638364.0</v>
      </c>
      <c r="V200" s="1">
        <v>638364.0</v>
      </c>
    </row>
    <row r="201" ht="15.75" customHeight="1">
      <c r="A201" s="1">
        <v>12.0</v>
      </c>
      <c r="B201" s="1" t="s">
        <v>22</v>
      </c>
      <c r="C201" s="1">
        <v>2.0</v>
      </c>
      <c r="D201" s="1">
        <v>3.0</v>
      </c>
      <c r="E201" s="1">
        <v>3.0</v>
      </c>
      <c r="F201" s="1">
        <v>0.0</v>
      </c>
      <c r="G201" s="1">
        <v>19.0</v>
      </c>
      <c r="H201" s="1" t="str">
        <f t="shared" si="2"/>
        <v>E010</v>
      </c>
      <c r="I201" s="1" t="s">
        <v>42</v>
      </c>
      <c r="J201" s="1">
        <v>10.0</v>
      </c>
      <c r="K201" s="2">
        <v>3000.0</v>
      </c>
      <c r="L201" s="1">
        <v>35801.0</v>
      </c>
      <c r="M201" s="1" t="str">
        <f>VLOOKUP(L201,'Catálogos'!$A$2:$B$492,2,0)</f>
        <v>Servicios de lavandería, limpieza e higiene</v>
      </c>
      <c r="N201" s="1">
        <v>1.0</v>
      </c>
      <c r="O201" s="1">
        <v>4.0</v>
      </c>
      <c r="P201" s="1">
        <v>9.0</v>
      </c>
      <c r="Q201" s="1">
        <v>0.0</v>
      </c>
      <c r="R201" s="1">
        <v>91000.0</v>
      </c>
      <c r="S201" s="1">
        <v>0.0</v>
      </c>
      <c r="T201" s="1">
        <v>0.0</v>
      </c>
      <c r="U201" s="1">
        <v>0.0</v>
      </c>
      <c r="V201" s="1">
        <v>0.0</v>
      </c>
    </row>
    <row r="202" ht="15.75" customHeight="1">
      <c r="A202" s="1">
        <v>12.0</v>
      </c>
      <c r="B202" s="1" t="s">
        <v>22</v>
      </c>
      <c r="C202" s="1">
        <v>2.0</v>
      </c>
      <c r="D202" s="1">
        <v>3.0</v>
      </c>
      <c r="E202" s="1">
        <v>3.0</v>
      </c>
      <c r="F202" s="1">
        <v>0.0</v>
      </c>
      <c r="G202" s="1">
        <v>19.0</v>
      </c>
      <c r="H202" s="1" t="str">
        <f t="shared" si="2"/>
        <v>E010</v>
      </c>
      <c r="I202" s="1" t="s">
        <v>42</v>
      </c>
      <c r="J202" s="1">
        <v>10.0</v>
      </c>
      <c r="K202" s="2">
        <v>3000.0</v>
      </c>
      <c r="L202" s="1">
        <v>35901.0</v>
      </c>
      <c r="M202" s="1" t="str">
        <f>VLOOKUP(L202,'Catálogos'!$A$2:$B$492,2,0)</f>
        <v>Servicios de jardinería y fumigación</v>
      </c>
      <c r="N202" s="1">
        <v>1.0</v>
      </c>
      <c r="O202" s="1">
        <v>1.0</v>
      </c>
      <c r="P202" s="1">
        <v>9.0</v>
      </c>
      <c r="Q202" s="1">
        <v>0.0</v>
      </c>
      <c r="R202" s="1">
        <v>4197.0</v>
      </c>
      <c r="S202" s="1">
        <v>6758.0</v>
      </c>
      <c r="T202" s="1">
        <v>6758.0</v>
      </c>
      <c r="U202" s="1">
        <v>6758.0</v>
      </c>
      <c r="V202" s="1">
        <v>6758.0</v>
      </c>
    </row>
    <row r="203" ht="15.75" customHeight="1">
      <c r="A203" s="1">
        <v>12.0</v>
      </c>
      <c r="B203" s="1" t="s">
        <v>22</v>
      </c>
      <c r="C203" s="1">
        <v>2.0</v>
      </c>
      <c r="D203" s="1">
        <v>3.0</v>
      </c>
      <c r="E203" s="1">
        <v>3.0</v>
      </c>
      <c r="F203" s="1">
        <v>0.0</v>
      </c>
      <c r="G203" s="1">
        <v>19.0</v>
      </c>
      <c r="H203" s="1" t="str">
        <f t="shared" si="2"/>
        <v>E010</v>
      </c>
      <c r="I203" s="1" t="s">
        <v>42</v>
      </c>
      <c r="J203" s="1">
        <v>10.0</v>
      </c>
      <c r="K203" s="2">
        <v>3000.0</v>
      </c>
      <c r="L203" s="1">
        <v>35901.0</v>
      </c>
      <c r="M203" s="1" t="str">
        <f>VLOOKUP(L203,'Catálogos'!$A$2:$B$492,2,0)</f>
        <v>Servicios de jardinería y fumigación</v>
      </c>
      <c r="N203" s="1">
        <v>1.0</v>
      </c>
      <c r="O203" s="1">
        <v>4.0</v>
      </c>
      <c r="P203" s="1">
        <v>9.0</v>
      </c>
      <c r="Q203" s="1">
        <v>0.0</v>
      </c>
      <c r="R203" s="1">
        <v>1200.0</v>
      </c>
      <c r="S203" s="1">
        <v>0.0</v>
      </c>
      <c r="T203" s="1">
        <v>0.0</v>
      </c>
      <c r="U203" s="1">
        <v>0.0</v>
      </c>
      <c r="V203" s="1">
        <v>0.0</v>
      </c>
    </row>
    <row r="204" ht="15.75" customHeight="1">
      <c r="A204" s="1">
        <v>12.0</v>
      </c>
      <c r="B204" s="1" t="s">
        <v>22</v>
      </c>
      <c r="C204" s="1">
        <v>2.0</v>
      </c>
      <c r="D204" s="1">
        <v>3.0</v>
      </c>
      <c r="E204" s="1">
        <v>3.0</v>
      </c>
      <c r="F204" s="1">
        <v>0.0</v>
      </c>
      <c r="G204" s="1">
        <v>19.0</v>
      </c>
      <c r="H204" s="1" t="str">
        <f t="shared" si="2"/>
        <v>E010</v>
      </c>
      <c r="I204" s="1" t="s">
        <v>42</v>
      </c>
      <c r="J204" s="1">
        <v>10.0</v>
      </c>
      <c r="K204" s="2">
        <v>3000.0</v>
      </c>
      <c r="L204" s="1">
        <v>37104.0</v>
      </c>
      <c r="M204" s="1" t="str">
        <f>VLOOKUP(L204,'Catálogos'!$A$2:$B$492,2,0)</f>
        <v>Pasajes aéreos nacionales para servidores públicos de mando en el desempeño de comisiones y funciones oficiales</v>
      </c>
      <c r="N204" s="1">
        <v>1.0</v>
      </c>
      <c r="O204" s="1">
        <v>4.0</v>
      </c>
      <c r="P204" s="1">
        <v>9.0</v>
      </c>
      <c r="Q204" s="1">
        <v>0.0</v>
      </c>
      <c r="R204" s="1">
        <v>20800.0</v>
      </c>
      <c r="S204" s="1">
        <v>20800.0</v>
      </c>
      <c r="T204" s="1">
        <v>0.0</v>
      </c>
      <c r="U204" s="1">
        <v>0.0</v>
      </c>
      <c r="V204" s="1">
        <v>0.0</v>
      </c>
    </row>
    <row r="205" ht="15.75" customHeight="1">
      <c r="A205" s="1">
        <v>12.0</v>
      </c>
      <c r="B205" s="1" t="s">
        <v>22</v>
      </c>
      <c r="C205" s="1">
        <v>2.0</v>
      </c>
      <c r="D205" s="1">
        <v>3.0</v>
      </c>
      <c r="E205" s="1">
        <v>3.0</v>
      </c>
      <c r="F205" s="1">
        <v>0.0</v>
      </c>
      <c r="G205" s="1">
        <v>19.0</v>
      </c>
      <c r="H205" s="1" t="str">
        <f t="shared" si="2"/>
        <v>E010</v>
      </c>
      <c r="I205" s="1" t="s">
        <v>42</v>
      </c>
      <c r="J205" s="1">
        <v>10.0</v>
      </c>
      <c r="K205" s="2">
        <v>3000.0</v>
      </c>
      <c r="L205" s="1">
        <v>37106.0</v>
      </c>
      <c r="M205" s="1" t="str">
        <f>VLOOKUP(L205,'Catálogos'!$A$2:$B$492,2,0)</f>
        <v>Pasajes aéreos internacionales para servidores públicos en el desempeño de comisiones y funciones oficiales</v>
      </c>
      <c r="N205" s="1">
        <v>1.0</v>
      </c>
      <c r="O205" s="1">
        <v>4.0</v>
      </c>
      <c r="P205" s="1">
        <v>9.0</v>
      </c>
      <c r="Q205" s="1">
        <v>0.0</v>
      </c>
      <c r="R205" s="1">
        <v>14768.0</v>
      </c>
      <c r="S205" s="1">
        <v>14768.0</v>
      </c>
      <c r="T205" s="1">
        <v>0.0</v>
      </c>
      <c r="U205" s="1">
        <v>0.0</v>
      </c>
      <c r="V205" s="1">
        <v>0.0</v>
      </c>
    </row>
    <row r="206" ht="15.75" customHeight="1">
      <c r="A206" s="1">
        <v>12.0</v>
      </c>
      <c r="B206" s="1" t="s">
        <v>22</v>
      </c>
      <c r="C206" s="1">
        <v>2.0</v>
      </c>
      <c r="D206" s="1">
        <v>3.0</v>
      </c>
      <c r="E206" s="1">
        <v>3.0</v>
      </c>
      <c r="F206" s="1">
        <v>0.0</v>
      </c>
      <c r="G206" s="1">
        <v>19.0</v>
      </c>
      <c r="H206" s="1" t="str">
        <f t="shared" si="2"/>
        <v>E010</v>
      </c>
      <c r="I206" s="1" t="s">
        <v>42</v>
      </c>
      <c r="J206" s="1">
        <v>10.0</v>
      </c>
      <c r="K206" s="2">
        <v>3000.0</v>
      </c>
      <c r="L206" s="1">
        <v>37201.0</v>
      </c>
      <c r="M206" s="1" t="str">
        <f>VLOOKUP(L206,'Catálogos'!$A$2:$B$492,2,0)</f>
        <v>Pasajes terrestres nacionales para labores en campo y de supervisión</v>
      </c>
      <c r="N206" s="1">
        <v>1.0</v>
      </c>
      <c r="O206" s="1">
        <v>4.0</v>
      </c>
      <c r="P206" s="1">
        <v>9.0</v>
      </c>
      <c r="Q206" s="1">
        <v>0.0</v>
      </c>
      <c r="R206" s="1">
        <v>5200.0</v>
      </c>
      <c r="S206" s="1">
        <v>5200.0</v>
      </c>
      <c r="T206" s="1">
        <v>0.0</v>
      </c>
      <c r="U206" s="1">
        <v>0.0</v>
      </c>
      <c r="V206" s="1">
        <v>0.0</v>
      </c>
    </row>
    <row r="207" ht="15.75" customHeight="1">
      <c r="A207" s="1">
        <v>12.0</v>
      </c>
      <c r="B207" s="1" t="s">
        <v>22</v>
      </c>
      <c r="C207" s="1">
        <v>2.0</v>
      </c>
      <c r="D207" s="1">
        <v>3.0</v>
      </c>
      <c r="E207" s="1">
        <v>3.0</v>
      </c>
      <c r="F207" s="1">
        <v>0.0</v>
      </c>
      <c r="G207" s="1">
        <v>19.0</v>
      </c>
      <c r="H207" s="1" t="str">
        <f t="shared" si="2"/>
        <v>E010</v>
      </c>
      <c r="I207" s="1" t="s">
        <v>42</v>
      </c>
      <c r="J207" s="1">
        <v>10.0</v>
      </c>
      <c r="K207" s="2">
        <v>3000.0</v>
      </c>
      <c r="L207" s="1">
        <v>37602.0</v>
      </c>
      <c r="M207" s="1" t="str">
        <f>VLOOKUP(L207,'Catálogos'!$A$2:$B$492,2,0)</f>
        <v>Viáticos en el extranjero para servidores públicos en el desempeño de comisiones y funciones oficiales</v>
      </c>
      <c r="N207" s="1">
        <v>1.0</v>
      </c>
      <c r="O207" s="1">
        <v>4.0</v>
      </c>
      <c r="P207" s="1">
        <v>9.0</v>
      </c>
      <c r="Q207" s="1">
        <v>0.0</v>
      </c>
      <c r="R207" s="1">
        <v>1466.0</v>
      </c>
      <c r="S207" s="1">
        <v>1466.0</v>
      </c>
      <c r="T207" s="1">
        <v>0.0</v>
      </c>
      <c r="U207" s="1">
        <v>0.0</v>
      </c>
      <c r="V207" s="1">
        <v>0.0</v>
      </c>
    </row>
    <row r="208" ht="15.75" customHeight="1">
      <c r="A208" s="1">
        <v>12.0</v>
      </c>
      <c r="B208" s="1" t="s">
        <v>22</v>
      </c>
      <c r="C208" s="1">
        <v>2.0</v>
      </c>
      <c r="D208" s="1">
        <v>3.0</v>
      </c>
      <c r="E208" s="1">
        <v>3.0</v>
      </c>
      <c r="F208" s="1">
        <v>0.0</v>
      </c>
      <c r="G208" s="1">
        <v>19.0</v>
      </c>
      <c r="H208" s="1" t="str">
        <f t="shared" si="2"/>
        <v>E010</v>
      </c>
      <c r="I208" s="1" t="s">
        <v>42</v>
      </c>
      <c r="J208" s="1">
        <v>10.0</v>
      </c>
      <c r="K208" s="2">
        <v>3000.0</v>
      </c>
      <c r="L208" s="1">
        <v>39801.0</v>
      </c>
      <c r="M208" s="1" t="str">
        <f>VLOOKUP(L208,'Catálogos'!$A$2:$B$492,2,0)</f>
        <v>Impuesto sobre nóminas</v>
      </c>
      <c r="N208" s="1">
        <v>1.0</v>
      </c>
      <c r="O208" s="1">
        <v>1.0</v>
      </c>
      <c r="P208" s="1">
        <v>9.0</v>
      </c>
      <c r="Q208" s="1">
        <v>0.0</v>
      </c>
      <c r="R208" s="1">
        <v>1175700.0</v>
      </c>
      <c r="S208" s="1">
        <v>1470226.0</v>
      </c>
      <c r="T208" s="1">
        <v>1470226.0</v>
      </c>
      <c r="U208" s="1">
        <v>1470226.0</v>
      </c>
      <c r="V208" s="1">
        <v>1470226.0</v>
      </c>
    </row>
    <row r="209" ht="15.75" customHeight="1">
      <c r="A209" s="1">
        <v>12.0</v>
      </c>
      <c r="B209" s="1" t="s">
        <v>22</v>
      </c>
      <c r="C209" s="1">
        <v>2.0</v>
      </c>
      <c r="D209" s="1">
        <v>3.0</v>
      </c>
      <c r="E209" s="1">
        <v>4.0</v>
      </c>
      <c r="F209" s="1">
        <v>0.0</v>
      </c>
      <c r="G209" s="1">
        <v>2.0</v>
      </c>
      <c r="H209" s="1" t="str">
        <f t="shared" ref="H209:H274" si="3">I209&amp;"00"&amp;J209</f>
        <v>M001</v>
      </c>
      <c r="I209" s="1" t="s">
        <v>51</v>
      </c>
      <c r="J209" s="1">
        <v>1.0</v>
      </c>
      <c r="K209" s="2">
        <v>1000.0</v>
      </c>
      <c r="L209" s="1">
        <v>11301.0</v>
      </c>
      <c r="M209" s="1" t="str">
        <f>VLOOKUP(L209,'Catálogos'!$A$2:$B$492,2,0)</f>
        <v>Sueldos base</v>
      </c>
      <c r="N209" s="1">
        <v>1.0</v>
      </c>
      <c r="O209" s="1">
        <v>1.0</v>
      </c>
      <c r="P209" s="1">
        <v>9.0</v>
      </c>
      <c r="Q209" s="1">
        <v>0.0</v>
      </c>
      <c r="R209" s="1">
        <v>1.4803141E7</v>
      </c>
      <c r="S209" s="1">
        <v>1.4711608E7</v>
      </c>
      <c r="T209" s="1">
        <v>1.4711608E7</v>
      </c>
      <c r="U209" s="1">
        <v>1.4711608E7</v>
      </c>
      <c r="V209" s="1">
        <v>1.4711608E7</v>
      </c>
    </row>
    <row r="210" ht="15.75" customHeight="1">
      <c r="A210" s="1">
        <v>12.0</v>
      </c>
      <c r="B210" s="1" t="s">
        <v>22</v>
      </c>
      <c r="C210" s="1">
        <v>2.0</v>
      </c>
      <c r="D210" s="1">
        <v>3.0</v>
      </c>
      <c r="E210" s="1">
        <v>4.0</v>
      </c>
      <c r="F210" s="1">
        <v>0.0</v>
      </c>
      <c r="G210" s="1">
        <v>2.0</v>
      </c>
      <c r="H210" s="1" t="str">
        <f t="shared" si="3"/>
        <v>M001</v>
      </c>
      <c r="I210" s="1" t="s">
        <v>51</v>
      </c>
      <c r="J210" s="1">
        <v>1.0</v>
      </c>
      <c r="K210" s="2">
        <v>1000.0</v>
      </c>
      <c r="L210" s="1">
        <v>12301.0</v>
      </c>
      <c r="M210" s="1" t="str">
        <f>VLOOKUP(L210,'Catálogos'!$A$2:$B$492,2,0)</f>
        <v>Retribuciones por servicios de carácter social</v>
      </c>
      <c r="N210" s="1">
        <v>1.0</v>
      </c>
      <c r="O210" s="1">
        <v>1.0</v>
      </c>
      <c r="P210" s="1">
        <v>9.0</v>
      </c>
      <c r="Q210" s="1">
        <v>0.0</v>
      </c>
      <c r="R210" s="1">
        <v>0.0</v>
      </c>
      <c r="S210" s="1">
        <v>98237.0</v>
      </c>
      <c r="T210" s="1">
        <v>98237.0</v>
      </c>
      <c r="U210" s="1">
        <v>98237.0</v>
      </c>
      <c r="V210" s="1">
        <v>98237.0</v>
      </c>
    </row>
    <row r="211" ht="15.75" customHeight="1">
      <c r="A211" s="1">
        <v>12.0</v>
      </c>
      <c r="B211" s="1" t="s">
        <v>22</v>
      </c>
      <c r="C211" s="1">
        <v>2.0</v>
      </c>
      <c r="D211" s="1">
        <v>3.0</v>
      </c>
      <c r="E211" s="1">
        <v>4.0</v>
      </c>
      <c r="F211" s="1">
        <v>0.0</v>
      </c>
      <c r="G211" s="1">
        <v>2.0</v>
      </c>
      <c r="H211" s="1" t="str">
        <f t="shared" si="3"/>
        <v>M001</v>
      </c>
      <c r="I211" s="1" t="s">
        <v>51</v>
      </c>
      <c r="J211" s="1">
        <v>1.0</v>
      </c>
      <c r="K211" s="2">
        <v>1000.0</v>
      </c>
      <c r="L211" s="1">
        <v>13101.0</v>
      </c>
      <c r="M211" s="1" t="str">
        <f>VLOOKUP(L211,'Catálogos'!$A$2:$B$492,2,0)</f>
        <v>Prima quinquenal por años de servicios efectivos prestados</v>
      </c>
      <c r="N211" s="1">
        <v>1.0</v>
      </c>
      <c r="O211" s="1">
        <v>1.0</v>
      </c>
      <c r="P211" s="1">
        <v>9.0</v>
      </c>
      <c r="Q211" s="1">
        <v>0.0</v>
      </c>
      <c r="R211" s="1">
        <v>348729.0</v>
      </c>
      <c r="S211" s="1">
        <v>348729.0</v>
      </c>
      <c r="T211" s="1">
        <v>348729.0</v>
      </c>
      <c r="U211" s="1">
        <v>348729.0</v>
      </c>
      <c r="V211" s="1">
        <v>348729.0</v>
      </c>
    </row>
    <row r="212" ht="15.75" customHeight="1">
      <c r="A212" s="1">
        <v>12.0</v>
      </c>
      <c r="B212" s="1" t="s">
        <v>22</v>
      </c>
      <c r="C212" s="1">
        <v>2.0</v>
      </c>
      <c r="D212" s="1">
        <v>3.0</v>
      </c>
      <c r="E212" s="1">
        <v>4.0</v>
      </c>
      <c r="F212" s="1">
        <v>0.0</v>
      </c>
      <c r="G212" s="1">
        <v>2.0</v>
      </c>
      <c r="H212" s="1" t="str">
        <f t="shared" si="3"/>
        <v>M001</v>
      </c>
      <c r="I212" s="1" t="s">
        <v>51</v>
      </c>
      <c r="J212" s="1">
        <v>1.0</v>
      </c>
      <c r="K212" s="2">
        <v>1000.0</v>
      </c>
      <c r="L212" s="1">
        <v>13201.0</v>
      </c>
      <c r="M212" s="1" t="str">
        <f>VLOOKUP(L212,'Catálogos'!$A$2:$B$492,2,0)</f>
        <v>Primas de vacaciones y dominical</v>
      </c>
      <c r="N212" s="1">
        <v>1.0</v>
      </c>
      <c r="O212" s="1">
        <v>1.0</v>
      </c>
      <c r="P212" s="1">
        <v>9.0</v>
      </c>
      <c r="Q212" s="1">
        <v>0.0</v>
      </c>
      <c r="R212" s="1">
        <v>615635.0</v>
      </c>
      <c r="S212" s="1">
        <v>619756.0</v>
      </c>
      <c r="T212" s="1">
        <v>619756.0</v>
      </c>
      <c r="U212" s="1">
        <v>619756.0</v>
      </c>
      <c r="V212" s="1">
        <v>619756.0</v>
      </c>
    </row>
    <row r="213" ht="15.75" customHeight="1">
      <c r="A213" s="1">
        <v>12.0</v>
      </c>
      <c r="B213" s="1" t="s">
        <v>22</v>
      </c>
      <c r="C213" s="1">
        <v>2.0</v>
      </c>
      <c r="D213" s="1">
        <v>3.0</v>
      </c>
      <c r="E213" s="1">
        <v>4.0</v>
      </c>
      <c r="F213" s="1">
        <v>0.0</v>
      </c>
      <c r="G213" s="1">
        <v>2.0</v>
      </c>
      <c r="H213" s="1" t="str">
        <f t="shared" si="3"/>
        <v>M001</v>
      </c>
      <c r="I213" s="1" t="s">
        <v>51</v>
      </c>
      <c r="J213" s="1">
        <v>1.0</v>
      </c>
      <c r="K213" s="2">
        <v>1000.0</v>
      </c>
      <c r="L213" s="1">
        <v>13202.0</v>
      </c>
      <c r="M213" s="1" t="str">
        <f>VLOOKUP(L213,'Catálogos'!$A$2:$B$492,2,0)</f>
        <v>Aguinaldo o gratificación de fin de año</v>
      </c>
      <c r="N213" s="1">
        <v>1.0</v>
      </c>
      <c r="O213" s="1">
        <v>1.0</v>
      </c>
      <c r="P213" s="1">
        <v>9.0</v>
      </c>
      <c r="Q213" s="1">
        <v>0.0</v>
      </c>
      <c r="R213" s="1">
        <v>1970810.0</v>
      </c>
      <c r="S213" s="1">
        <v>2236743.0</v>
      </c>
      <c r="T213" s="1">
        <v>2236743.0</v>
      </c>
      <c r="U213" s="1">
        <v>2236743.0</v>
      </c>
      <c r="V213" s="1">
        <v>2236743.0</v>
      </c>
    </row>
    <row r="214" ht="15.75" customHeight="1">
      <c r="A214" s="1">
        <v>12.0</v>
      </c>
      <c r="B214" s="1" t="s">
        <v>22</v>
      </c>
      <c r="C214" s="1">
        <v>2.0</v>
      </c>
      <c r="D214" s="1">
        <v>3.0</v>
      </c>
      <c r="E214" s="1">
        <v>4.0</v>
      </c>
      <c r="F214" s="1">
        <v>0.0</v>
      </c>
      <c r="G214" s="1">
        <v>2.0</v>
      </c>
      <c r="H214" s="1" t="str">
        <f t="shared" si="3"/>
        <v>M001</v>
      </c>
      <c r="I214" s="1" t="s">
        <v>51</v>
      </c>
      <c r="J214" s="1">
        <v>1.0</v>
      </c>
      <c r="K214" s="2">
        <v>1000.0</v>
      </c>
      <c r="L214" s="1">
        <v>13301.0</v>
      </c>
      <c r="M214" s="1" t="str">
        <f>VLOOKUP(L214,'Catálogos'!$A$2:$B$492,2,0)</f>
        <v>Remuneraciones por horas extraordinarias</v>
      </c>
      <c r="N214" s="1">
        <v>1.0</v>
      </c>
      <c r="O214" s="1">
        <v>1.0</v>
      </c>
      <c r="P214" s="1">
        <v>9.0</v>
      </c>
      <c r="Q214" s="1">
        <v>0.0</v>
      </c>
      <c r="R214" s="1">
        <v>75836.0</v>
      </c>
      <c r="S214" s="1">
        <v>53135.0</v>
      </c>
      <c r="T214" s="1">
        <v>53135.0</v>
      </c>
      <c r="U214" s="1">
        <v>53135.0</v>
      </c>
      <c r="V214" s="1">
        <v>53135.0</v>
      </c>
    </row>
    <row r="215" ht="15.75" customHeight="1">
      <c r="A215" s="1">
        <v>12.0</v>
      </c>
      <c r="B215" s="1" t="s">
        <v>22</v>
      </c>
      <c r="C215" s="1">
        <v>2.0</v>
      </c>
      <c r="D215" s="1">
        <v>3.0</v>
      </c>
      <c r="E215" s="1">
        <v>4.0</v>
      </c>
      <c r="F215" s="1">
        <v>0.0</v>
      </c>
      <c r="G215" s="1">
        <v>2.0</v>
      </c>
      <c r="H215" s="1" t="str">
        <f t="shared" si="3"/>
        <v>M001</v>
      </c>
      <c r="I215" s="1" t="s">
        <v>51</v>
      </c>
      <c r="J215" s="1">
        <v>1.0</v>
      </c>
      <c r="K215" s="2">
        <v>1000.0</v>
      </c>
      <c r="L215" s="1">
        <v>13404.0</v>
      </c>
      <c r="M215" s="1" t="str">
        <f>VLOOKUP(L215,'Catálogos'!$A$2:$B$492,2,0)</f>
        <v>Compensaciones por servicios eventuales</v>
      </c>
      <c r="N215" s="1">
        <v>1.0</v>
      </c>
      <c r="O215" s="1">
        <v>1.0</v>
      </c>
      <c r="P215" s="1">
        <v>9.0</v>
      </c>
      <c r="Q215" s="1">
        <v>0.0</v>
      </c>
      <c r="R215" s="1">
        <v>196761.0</v>
      </c>
      <c r="S215" s="1">
        <v>303589.0</v>
      </c>
      <c r="T215" s="1">
        <v>303589.0</v>
      </c>
      <c r="U215" s="1">
        <v>303589.0</v>
      </c>
      <c r="V215" s="1">
        <v>303589.0</v>
      </c>
    </row>
    <row r="216" ht="15.75" customHeight="1">
      <c r="A216" s="1">
        <v>12.0</v>
      </c>
      <c r="B216" s="1" t="s">
        <v>22</v>
      </c>
      <c r="C216" s="1">
        <v>2.0</v>
      </c>
      <c r="D216" s="1">
        <v>3.0</v>
      </c>
      <c r="E216" s="1">
        <v>4.0</v>
      </c>
      <c r="F216" s="1">
        <v>0.0</v>
      </c>
      <c r="G216" s="1">
        <v>2.0</v>
      </c>
      <c r="H216" s="1" t="str">
        <f t="shared" si="3"/>
        <v>M001</v>
      </c>
      <c r="I216" s="1" t="s">
        <v>51</v>
      </c>
      <c r="J216" s="1">
        <v>1.0</v>
      </c>
      <c r="K216" s="2">
        <v>1000.0</v>
      </c>
      <c r="L216" s="1">
        <v>13407.0</v>
      </c>
      <c r="M216" s="1" t="str">
        <f>VLOOKUP(L216,'Catálogos'!$A$2:$B$492,2,0)</f>
        <v>Compensaciones adicionales por servicios especiales</v>
      </c>
      <c r="N216" s="1">
        <v>1.0</v>
      </c>
      <c r="O216" s="1">
        <v>1.0</v>
      </c>
      <c r="P216" s="1">
        <v>9.0</v>
      </c>
      <c r="Q216" s="1">
        <v>0.0</v>
      </c>
      <c r="R216" s="1">
        <v>1585751.0</v>
      </c>
      <c r="S216" s="1">
        <v>1605398.0</v>
      </c>
      <c r="T216" s="1">
        <v>1605398.0</v>
      </c>
      <c r="U216" s="1">
        <v>1605398.0</v>
      </c>
      <c r="V216" s="1">
        <v>1605398.0</v>
      </c>
    </row>
    <row r="217" ht="15.75" customHeight="1">
      <c r="A217" s="1">
        <v>12.0</v>
      </c>
      <c r="B217" s="1" t="s">
        <v>22</v>
      </c>
      <c r="C217" s="1">
        <v>2.0</v>
      </c>
      <c r="D217" s="1">
        <v>3.0</v>
      </c>
      <c r="E217" s="1">
        <v>4.0</v>
      </c>
      <c r="F217" s="1">
        <v>0.0</v>
      </c>
      <c r="G217" s="1">
        <v>2.0</v>
      </c>
      <c r="H217" s="1" t="str">
        <f t="shared" si="3"/>
        <v>M001</v>
      </c>
      <c r="I217" s="1" t="s">
        <v>51</v>
      </c>
      <c r="J217" s="1">
        <v>1.0</v>
      </c>
      <c r="K217" s="2">
        <v>1000.0</v>
      </c>
      <c r="L217" s="1">
        <v>13410.0</v>
      </c>
      <c r="M217" s="1" t="str">
        <f>VLOOKUP(L217,'Catálogos'!$A$2:$B$492,2,0)</f>
        <v>Compensación por actualización y formación académica</v>
      </c>
      <c r="N217" s="1">
        <v>1.0</v>
      </c>
      <c r="O217" s="1">
        <v>1.0</v>
      </c>
      <c r="P217" s="1">
        <v>9.0</v>
      </c>
      <c r="Q217" s="1">
        <v>0.0</v>
      </c>
      <c r="R217" s="1">
        <v>5983396.0</v>
      </c>
      <c r="S217" s="1">
        <v>5791524.0</v>
      </c>
      <c r="T217" s="1">
        <v>5791524.0</v>
      </c>
      <c r="U217" s="1">
        <v>5791524.0</v>
      </c>
      <c r="V217" s="1">
        <v>5791524.0</v>
      </c>
    </row>
    <row r="218" ht="15.75" customHeight="1">
      <c r="A218" s="1">
        <v>12.0</v>
      </c>
      <c r="B218" s="1" t="s">
        <v>22</v>
      </c>
      <c r="C218" s="1">
        <v>2.0</v>
      </c>
      <c r="D218" s="1">
        <v>3.0</v>
      </c>
      <c r="E218" s="1">
        <v>4.0</v>
      </c>
      <c r="F218" s="1">
        <v>0.0</v>
      </c>
      <c r="G218" s="1">
        <v>2.0</v>
      </c>
      <c r="H218" s="1" t="str">
        <f t="shared" si="3"/>
        <v>M001</v>
      </c>
      <c r="I218" s="1" t="s">
        <v>51</v>
      </c>
      <c r="J218" s="1">
        <v>1.0</v>
      </c>
      <c r="K218" s="2">
        <v>1000.0</v>
      </c>
      <c r="L218" s="1">
        <v>13411.0</v>
      </c>
      <c r="M218" s="1" t="str">
        <f>VLOOKUP(L218,'Catálogos'!$A$2:$B$492,2,0)</f>
        <v>Compensaciones a médicos residentes</v>
      </c>
      <c r="N218" s="1">
        <v>1.0</v>
      </c>
      <c r="O218" s="1">
        <v>1.0</v>
      </c>
      <c r="P218" s="1">
        <v>9.0</v>
      </c>
      <c r="Q218" s="1">
        <v>0.0</v>
      </c>
      <c r="R218" s="1">
        <v>0.0</v>
      </c>
      <c r="S218" s="1">
        <v>124831.0</v>
      </c>
      <c r="T218" s="1">
        <v>124831.0</v>
      </c>
      <c r="U218" s="1">
        <v>124831.0</v>
      </c>
      <c r="V218" s="1">
        <v>124831.0</v>
      </c>
    </row>
    <row r="219" ht="15.75" customHeight="1">
      <c r="A219" s="1">
        <v>12.0</v>
      </c>
      <c r="B219" s="1" t="s">
        <v>22</v>
      </c>
      <c r="C219" s="1">
        <v>2.0</v>
      </c>
      <c r="D219" s="1">
        <v>3.0</v>
      </c>
      <c r="E219" s="1">
        <v>4.0</v>
      </c>
      <c r="F219" s="1">
        <v>0.0</v>
      </c>
      <c r="G219" s="1">
        <v>2.0</v>
      </c>
      <c r="H219" s="1" t="str">
        <f t="shared" si="3"/>
        <v>M001</v>
      </c>
      <c r="I219" s="1" t="s">
        <v>51</v>
      </c>
      <c r="J219" s="1">
        <v>1.0</v>
      </c>
      <c r="K219" s="2">
        <v>1000.0</v>
      </c>
      <c r="L219" s="1">
        <v>14101.0</v>
      </c>
      <c r="M219" s="1" t="str">
        <f>VLOOKUP(L219,'Catálogos'!$A$2:$B$492,2,0)</f>
        <v>Aportaciones al ISSSTE</v>
      </c>
      <c r="N219" s="1">
        <v>1.0</v>
      </c>
      <c r="O219" s="1">
        <v>1.0</v>
      </c>
      <c r="P219" s="1">
        <v>9.0</v>
      </c>
      <c r="Q219" s="1">
        <v>0.0</v>
      </c>
      <c r="R219" s="1">
        <v>4650977.0</v>
      </c>
      <c r="S219" s="1">
        <v>3533881.0</v>
      </c>
      <c r="T219" s="1">
        <v>3533881.0</v>
      </c>
      <c r="U219" s="1">
        <v>3533881.0</v>
      </c>
      <c r="V219" s="1">
        <v>3533881.0</v>
      </c>
    </row>
    <row r="220" ht="15.75" customHeight="1">
      <c r="A220" s="1">
        <v>12.0</v>
      </c>
      <c r="B220" s="1" t="s">
        <v>22</v>
      </c>
      <c r="C220" s="1">
        <v>2.0</v>
      </c>
      <c r="D220" s="1">
        <v>3.0</v>
      </c>
      <c r="E220" s="1">
        <v>4.0</v>
      </c>
      <c r="F220" s="1">
        <v>0.0</v>
      </c>
      <c r="G220" s="1">
        <v>2.0</v>
      </c>
      <c r="H220" s="1" t="str">
        <f t="shared" si="3"/>
        <v>M001</v>
      </c>
      <c r="I220" s="1" t="s">
        <v>51</v>
      </c>
      <c r="J220" s="1">
        <v>1.0</v>
      </c>
      <c r="K220" s="2">
        <v>1000.0</v>
      </c>
      <c r="L220" s="1">
        <v>14105.0</v>
      </c>
      <c r="M220" s="1" t="str">
        <f>VLOOKUP(L220,'Catálogos'!$A$2:$B$492,2,0)</f>
        <v>Aportaciones al seguro de cesantía en edad avanzada y vejez</v>
      </c>
      <c r="N220" s="1">
        <v>1.0</v>
      </c>
      <c r="O220" s="1">
        <v>1.0</v>
      </c>
      <c r="P220" s="1">
        <v>9.0</v>
      </c>
      <c r="Q220" s="1">
        <v>0.0</v>
      </c>
      <c r="R220" s="1">
        <v>869813.0</v>
      </c>
      <c r="S220" s="1">
        <v>873556.0</v>
      </c>
      <c r="T220" s="1">
        <v>873556.0</v>
      </c>
      <c r="U220" s="1">
        <v>873556.0</v>
      </c>
      <c r="V220" s="1">
        <v>873556.0</v>
      </c>
    </row>
    <row r="221" ht="15.75" customHeight="1">
      <c r="A221" s="1">
        <v>12.0</v>
      </c>
      <c r="B221" s="1" t="s">
        <v>22</v>
      </c>
      <c r="C221" s="1">
        <v>2.0</v>
      </c>
      <c r="D221" s="1">
        <v>3.0</v>
      </c>
      <c r="E221" s="1">
        <v>4.0</v>
      </c>
      <c r="F221" s="1">
        <v>0.0</v>
      </c>
      <c r="G221" s="1">
        <v>2.0</v>
      </c>
      <c r="H221" s="1" t="str">
        <f t="shared" si="3"/>
        <v>M001</v>
      </c>
      <c r="I221" s="1" t="s">
        <v>51</v>
      </c>
      <c r="J221" s="1">
        <v>1.0</v>
      </c>
      <c r="K221" s="2">
        <v>1000.0</v>
      </c>
      <c r="L221" s="1">
        <v>14201.0</v>
      </c>
      <c r="M221" s="1" t="str">
        <f>VLOOKUP(L221,'Catálogos'!$A$2:$B$492,2,0)</f>
        <v>Aportaciones al FOVISSSTE</v>
      </c>
      <c r="N221" s="1">
        <v>1.0</v>
      </c>
      <c r="O221" s="1">
        <v>1.0</v>
      </c>
      <c r="P221" s="1">
        <v>9.0</v>
      </c>
      <c r="Q221" s="1">
        <v>0.0</v>
      </c>
      <c r="R221" s="1">
        <v>851611.0</v>
      </c>
      <c r="S221" s="1">
        <v>755645.0</v>
      </c>
      <c r="T221" s="1">
        <v>755645.0</v>
      </c>
      <c r="U221" s="1">
        <v>755645.0</v>
      </c>
      <c r="V221" s="1">
        <v>755645.0</v>
      </c>
    </row>
    <row r="222" ht="15.75" customHeight="1">
      <c r="A222" s="1">
        <v>12.0</v>
      </c>
      <c r="B222" s="1" t="s">
        <v>22</v>
      </c>
      <c r="C222" s="1">
        <v>2.0</v>
      </c>
      <c r="D222" s="1">
        <v>3.0</v>
      </c>
      <c r="E222" s="1">
        <v>4.0</v>
      </c>
      <c r="F222" s="1">
        <v>0.0</v>
      </c>
      <c r="G222" s="1">
        <v>2.0</v>
      </c>
      <c r="H222" s="1" t="str">
        <f t="shared" si="3"/>
        <v>M001</v>
      </c>
      <c r="I222" s="1" t="s">
        <v>51</v>
      </c>
      <c r="J222" s="1">
        <v>1.0</v>
      </c>
      <c r="K222" s="2">
        <v>1000.0</v>
      </c>
      <c r="L222" s="1">
        <v>14301.0</v>
      </c>
      <c r="M222" s="1" t="str">
        <f>VLOOKUP(L222,'Catálogos'!$A$2:$B$492,2,0)</f>
        <v>Aportaciones al Sistema de Ahorro para el Retiro</v>
      </c>
      <c r="N222" s="1">
        <v>1.0</v>
      </c>
      <c r="O222" s="1">
        <v>1.0</v>
      </c>
      <c r="P222" s="1">
        <v>9.0</v>
      </c>
      <c r="Q222" s="1">
        <v>0.0</v>
      </c>
      <c r="R222" s="1">
        <v>340644.0</v>
      </c>
      <c r="S222" s="1">
        <v>343002.0</v>
      </c>
      <c r="T222" s="1">
        <v>343002.0</v>
      </c>
      <c r="U222" s="1">
        <v>343002.0</v>
      </c>
      <c r="V222" s="1">
        <v>343002.0</v>
      </c>
    </row>
    <row r="223" ht="15.75" customHeight="1">
      <c r="A223" s="1">
        <v>12.0</v>
      </c>
      <c r="B223" s="1" t="s">
        <v>22</v>
      </c>
      <c r="C223" s="1">
        <v>2.0</v>
      </c>
      <c r="D223" s="1">
        <v>3.0</v>
      </c>
      <c r="E223" s="1">
        <v>4.0</v>
      </c>
      <c r="F223" s="1">
        <v>0.0</v>
      </c>
      <c r="G223" s="1">
        <v>2.0</v>
      </c>
      <c r="H223" s="1" t="str">
        <f t="shared" si="3"/>
        <v>M001</v>
      </c>
      <c r="I223" s="1" t="s">
        <v>51</v>
      </c>
      <c r="J223" s="1">
        <v>1.0</v>
      </c>
      <c r="K223" s="2">
        <v>1000.0</v>
      </c>
      <c r="L223" s="1">
        <v>14302.0</v>
      </c>
      <c r="M223" s="1" t="str">
        <f>VLOOKUP(L223,'Catálogos'!$A$2:$B$492,2,0)</f>
        <v>Depósitos para el ahorro solidario</v>
      </c>
      <c r="N223" s="1">
        <v>1.0</v>
      </c>
      <c r="O223" s="1">
        <v>1.0</v>
      </c>
      <c r="P223" s="1">
        <v>9.0</v>
      </c>
      <c r="Q223" s="1">
        <v>0.0</v>
      </c>
      <c r="R223" s="1">
        <v>240308.0</v>
      </c>
      <c r="S223" s="1">
        <v>240308.0</v>
      </c>
      <c r="T223" s="1">
        <v>240308.0</v>
      </c>
      <c r="U223" s="1">
        <v>240308.0</v>
      </c>
      <c r="V223" s="1">
        <v>240308.0</v>
      </c>
    </row>
    <row r="224" ht="15.75" customHeight="1">
      <c r="A224" s="1">
        <v>12.0</v>
      </c>
      <c r="B224" s="1" t="s">
        <v>22</v>
      </c>
      <c r="C224" s="1">
        <v>2.0</v>
      </c>
      <c r="D224" s="1">
        <v>3.0</v>
      </c>
      <c r="E224" s="1">
        <v>4.0</v>
      </c>
      <c r="F224" s="1">
        <v>0.0</v>
      </c>
      <c r="G224" s="1">
        <v>2.0</v>
      </c>
      <c r="H224" s="1" t="str">
        <f t="shared" si="3"/>
        <v>M001</v>
      </c>
      <c r="I224" s="1" t="s">
        <v>51</v>
      </c>
      <c r="J224" s="1">
        <v>1.0</v>
      </c>
      <c r="K224" s="2">
        <v>1000.0</v>
      </c>
      <c r="L224" s="1">
        <v>14401.0</v>
      </c>
      <c r="M224" s="1" t="str">
        <f>VLOOKUP(L224,'Catálogos'!$A$2:$B$492,2,0)</f>
        <v>Cuotas para el seguro de vida del personal civil</v>
      </c>
      <c r="N224" s="1">
        <v>1.0</v>
      </c>
      <c r="O224" s="1">
        <v>1.0</v>
      </c>
      <c r="P224" s="1">
        <v>9.0</v>
      </c>
      <c r="Q224" s="1">
        <v>0.0</v>
      </c>
      <c r="R224" s="1">
        <v>275973.0</v>
      </c>
      <c r="S224" s="1">
        <v>277505.0</v>
      </c>
      <c r="T224" s="1">
        <v>277505.0</v>
      </c>
      <c r="U224" s="1">
        <v>277505.0</v>
      </c>
      <c r="V224" s="1">
        <v>277505.0</v>
      </c>
    </row>
    <row r="225" ht="15.75" customHeight="1">
      <c r="A225" s="1">
        <v>12.0</v>
      </c>
      <c r="B225" s="1" t="s">
        <v>22</v>
      </c>
      <c r="C225" s="1">
        <v>2.0</v>
      </c>
      <c r="D225" s="1">
        <v>3.0</v>
      </c>
      <c r="E225" s="1">
        <v>4.0</v>
      </c>
      <c r="F225" s="1">
        <v>0.0</v>
      </c>
      <c r="G225" s="1">
        <v>2.0</v>
      </c>
      <c r="H225" s="1" t="str">
        <f t="shared" si="3"/>
        <v>M001</v>
      </c>
      <c r="I225" s="1" t="s">
        <v>51</v>
      </c>
      <c r="J225" s="1">
        <v>1.0</v>
      </c>
      <c r="K225" s="2">
        <v>1000.0</v>
      </c>
      <c r="L225" s="1">
        <v>14405.0</v>
      </c>
      <c r="M225" s="1" t="str">
        <f>VLOOKUP(L225,'Catálogos'!$A$2:$B$492,2,0)</f>
        <v>Cuotas para el seguro colectivo de retiro</v>
      </c>
      <c r="N225" s="1">
        <v>1.0</v>
      </c>
      <c r="O225" s="1">
        <v>1.0</v>
      </c>
      <c r="P225" s="1">
        <v>9.0</v>
      </c>
      <c r="Q225" s="1">
        <v>0.0</v>
      </c>
      <c r="R225" s="1">
        <v>8402.0</v>
      </c>
      <c r="S225" s="1">
        <v>10372.0</v>
      </c>
      <c r="T225" s="1">
        <v>10372.0</v>
      </c>
      <c r="U225" s="1">
        <v>10372.0</v>
      </c>
      <c r="V225" s="1">
        <v>10372.0</v>
      </c>
    </row>
    <row r="226" ht="15.75" customHeight="1">
      <c r="A226" s="1">
        <v>12.0</v>
      </c>
      <c r="B226" s="1" t="s">
        <v>22</v>
      </c>
      <c r="C226" s="1">
        <v>2.0</v>
      </c>
      <c r="D226" s="1">
        <v>3.0</v>
      </c>
      <c r="E226" s="1">
        <v>4.0</v>
      </c>
      <c r="F226" s="1">
        <v>0.0</v>
      </c>
      <c r="G226" s="1">
        <v>2.0</v>
      </c>
      <c r="H226" s="1" t="str">
        <f t="shared" si="3"/>
        <v>M001</v>
      </c>
      <c r="I226" s="1" t="s">
        <v>51</v>
      </c>
      <c r="J226" s="1">
        <v>1.0</v>
      </c>
      <c r="K226" s="2">
        <v>1000.0</v>
      </c>
      <c r="L226" s="1">
        <v>14406.0</v>
      </c>
      <c r="M226" s="1" t="str">
        <f>VLOOKUP(L226,'Catálogos'!$A$2:$B$492,2,0)</f>
        <v>Seguro de responsabilidad civil, asistencia legal y otros seguros</v>
      </c>
      <c r="N226" s="1">
        <v>1.0</v>
      </c>
      <c r="O226" s="1">
        <v>1.0</v>
      </c>
      <c r="P226" s="1">
        <v>9.0</v>
      </c>
      <c r="Q226" s="1">
        <v>0.0</v>
      </c>
      <c r="R226" s="1">
        <v>8270.0</v>
      </c>
      <c r="S226" s="1">
        <v>13705.0</v>
      </c>
      <c r="T226" s="1">
        <v>13705.0</v>
      </c>
      <c r="U226" s="1">
        <v>13705.0</v>
      </c>
      <c r="V226" s="1">
        <v>13705.0</v>
      </c>
    </row>
    <row r="227" ht="15.75" customHeight="1">
      <c r="A227" s="1">
        <v>12.0</v>
      </c>
      <c r="B227" s="1" t="s">
        <v>22</v>
      </c>
      <c r="C227" s="1">
        <v>2.0</v>
      </c>
      <c r="D227" s="1">
        <v>3.0</v>
      </c>
      <c r="E227" s="1">
        <v>4.0</v>
      </c>
      <c r="F227" s="1">
        <v>0.0</v>
      </c>
      <c r="G227" s="1">
        <v>2.0</v>
      </c>
      <c r="H227" s="1" t="str">
        <f t="shared" si="3"/>
        <v>M001</v>
      </c>
      <c r="I227" s="1" t="s">
        <v>51</v>
      </c>
      <c r="J227" s="1">
        <v>1.0</v>
      </c>
      <c r="K227" s="2">
        <v>1000.0</v>
      </c>
      <c r="L227" s="1">
        <v>15401.0</v>
      </c>
      <c r="M227" s="1" t="str">
        <f>VLOOKUP(L227,'Catálogos'!$A$2:$B$492,2,0)</f>
        <v>Prestaciones establecidas por condiciones generales de trabajo o contratos colectivos de trabajo</v>
      </c>
      <c r="N227" s="1">
        <v>1.0</v>
      </c>
      <c r="O227" s="1">
        <v>1.0</v>
      </c>
      <c r="P227" s="1">
        <v>9.0</v>
      </c>
      <c r="Q227" s="1">
        <v>0.0</v>
      </c>
      <c r="R227" s="1">
        <v>584636.0</v>
      </c>
      <c r="S227" s="1">
        <v>584636.0</v>
      </c>
      <c r="T227" s="1">
        <v>584636.0</v>
      </c>
      <c r="U227" s="1">
        <v>584636.0</v>
      </c>
      <c r="V227" s="1">
        <v>584636.0</v>
      </c>
    </row>
    <row r="228" ht="15.75" customHeight="1">
      <c r="A228" s="1">
        <v>12.0</v>
      </c>
      <c r="B228" s="1" t="s">
        <v>22</v>
      </c>
      <c r="C228" s="1">
        <v>2.0</v>
      </c>
      <c r="D228" s="1">
        <v>3.0</v>
      </c>
      <c r="E228" s="1">
        <v>4.0</v>
      </c>
      <c r="F228" s="1">
        <v>0.0</v>
      </c>
      <c r="G228" s="1">
        <v>2.0</v>
      </c>
      <c r="H228" s="1" t="str">
        <f t="shared" si="3"/>
        <v>M001</v>
      </c>
      <c r="I228" s="1" t="s">
        <v>51</v>
      </c>
      <c r="J228" s="1">
        <v>1.0</v>
      </c>
      <c r="K228" s="2">
        <v>1000.0</v>
      </c>
      <c r="L228" s="1">
        <v>15402.0</v>
      </c>
      <c r="M228" s="1" t="str">
        <f>VLOOKUP(L228,'Catálogos'!$A$2:$B$492,2,0)</f>
        <v>Compensación garantizada</v>
      </c>
      <c r="N228" s="1">
        <v>1.0</v>
      </c>
      <c r="O228" s="1">
        <v>1.0</v>
      </c>
      <c r="P228" s="1">
        <v>9.0</v>
      </c>
      <c r="Q228" s="1">
        <v>0.0</v>
      </c>
      <c r="R228" s="1">
        <v>706117.0</v>
      </c>
      <c r="S228" s="1">
        <v>706117.0</v>
      </c>
      <c r="T228" s="1">
        <v>706117.0</v>
      </c>
      <c r="U228" s="1">
        <v>706117.0</v>
      </c>
      <c r="V228" s="1">
        <v>706117.0</v>
      </c>
    </row>
    <row r="229" ht="15.75" customHeight="1">
      <c r="A229" s="1">
        <v>12.0</v>
      </c>
      <c r="B229" s="1" t="s">
        <v>22</v>
      </c>
      <c r="C229" s="1">
        <v>2.0</v>
      </c>
      <c r="D229" s="1">
        <v>3.0</v>
      </c>
      <c r="E229" s="1">
        <v>4.0</v>
      </c>
      <c r="F229" s="1">
        <v>0.0</v>
      </c>
      <c r="G229" s="1">
        <v>2.0</v>
      </c>
      <c r="H229" s="1" t="str">
        <f t="shared" si="3"/>
        <v>M001</v>
      </c>
      <c r="I229" s="1" t="s">
        <v>51</v>
      </c>
      <c r="J229" s="1">
        <v>1.0</v>
      </c>
      <c r="K229" s="2">
        <v>1000.0</v>
      </c>
      <c r="L229" s="1">
        <v>15403.0</v>
      </c>
      <c r="M229" s="1" t="str">
        <f>VLOOKUP(L229,'Catálogos'!$A$2:$B$492,2,0)</f>
        <v>Asignaciones adicionales al sueldo</v>
      </c>
      <c r="N229" s="1">
        <v>1.0</v>
      </c>
      <c r="O229" s="1">
        <v>1.0</v>
      </c>
      <c r="P229" s="1">
        <v>9.0</v>
      </c>
      <c r="Q229" s="1">
        <v>0.0</v>
      </c>
      <c r="R229" s="1">
        <v>3160238.0</v>
      </c>
      <c r="S229" s="1">
        <v>2981352.0</v>
      </c>
      <c r="T229" s="1">
        <v>2981352.0</v>
      </c>
      <c r="U229" s="1">
        <v>2981352.0</v>
      </c>
      <c r="V229" s="1">
        <v>2981352.0</v>
      </c>
    </row>
    <row r="230" ht="15.75" customHeight="1">
      <c r="A230" s="1">
        <v>12.0</v>
      </c>
      <c r="B230" s="1" t="s">
        <v>22</v>
      </c>
      <c r="C230" s="1">
        <v>2.0</v>
      </c>
      <c r="D230" s="1">
        <v>3.0</v>
      </c>
      <c r="E230" s="1">
        <v>4.0</v>
      </c>
      <c r="F230" s="1">
        <v>0.0</v>
      </c>
      <c r="G230" s="1">
        <v>2.0</v>
      </c>
      <c r="H230" s="1" t="str">
        <f t="shared" si="3"/>
        <v>M001</v>
      </c>
      <c r="I230" s="1" t="s">
        <v>51</v>
      </c>
      <c r="J230" s="1">
        <v>1.0</v>
      </c>
      <c r="K230" s="2">
        <v>1000.0</v>
      </c>
      <c r="L230" s="1">
        <v>15901.0</v>
      </c>
      <c r="M230" s="1" t="str">
        <f>VLOOKUP(L230,'Catálogos'!$A$2:$B$492,2,0)</f>
        <v>Otras prestaciones</v>
      </c>
      <c r="N230" s="1">
        <v>1.0</v>
      </c>
      <c r="O230" s="1">
        <v>1.0</v>
      </c>
      <c r="P230" s="1">
        <v>9.0</v>
      </c>
      <c r="Q230" s="1">
        <v>0.0</v>
      </c>
      <c r="R230" s="1">
        <v>9303046.0</v>
      </c>
      <c r="S230" s="1">
        <v>9303046.0</v>
      </c>
      <c r="T230" s="1">
        <v>9303046.0</v>
      </c>
      <c r="U230" s="1">
        <v>9303046.0</v>
      </c>
      <c r="V230" s="1">
        <v>9303046.0</v>
      </c>
    </row>
    <row r="231" ht="15.75" customHeight="1">
      <c r="A231" s="1">
        <v>12.0</v>
      </c>
      <c r="B231" s="1" t="s">
        <v>22</v>
      </c>
      <c r="C231" s="1">
        <v>2.0</v>
      </c>
      <c r="D231" s="1">
        <v>3.0</v>
      </c>
      <c r="E231" s="1">
        <v>4.0</v>
      </c>
      <c r="F231" s="1">
        <v>0.0</v>
      </c>
      <c r="G231" s="1">
        <v>2.0</v>
      </c>
      <c r="H231" s="1" t="str">
        <f t="shared" si="3"/>
        <v>M001</v>
      </c>
      <c r="I231" s="1" t="s">
        <v>51</v>
      </c>
      <c r="J231" s="1">
        <v>1.0</v>
      </c>
      <c r="K231" s="2">
        <v>1000.0</v>
      </c>
      <c r="L231" s="1">
        <v>17102.0</v>
      </c>
      <c r="M231" s="1" t="str">
        <f>VLOOKUP(L231,'Catálogos'!$A$2:$B$492,2,0)</f>
        <v>Estímulos al personal operativo</v>
      </c>
      <c r="N231" s="1">
        <v>1.0</v>
      </c>
      <c r="O231" s="1">
        <v>1.0</v>
      </c>
      <c r="P231" s="1">
        <v>9.0</v>
      </c>
      <c r="Q231" s="1">
        <v>0.0</v>
      </c>
      <c r="R231" s="1">
        <v>1409343.0</v>
      </c>
      <c r="S231" s="1">
        <v>1409343.0</v>
      </c>
      <c r="T231" s="1">
        <v>1409343.0</v>
      </c>
      <c r="U231" s="1">
        <v>1409343.0</v>
      </c>
      <c r="V231" s="1">
        <v>1409343.0</v>
      </c>
    </row>
    <row r="232" ht="15.75" customHeight="1">
      <c r="A232" s="1">
        <v>12.0</v>
      </c>
      <c r="B232" s="1" t="s">
        <v>22</v>
      </c>
      <c r="C232" s="1">
        <v>2.0</v>
      </c>
      <c r="D232" s="1">
        <v>3.0</v>
      </c>
      <c r="E232" s="1">
        <v>4.0</v>
      </c>
      <c r="F232" s="1">
        <v>0.0</v>
      </c>
      <c r="G232" s="1">
        <v>2.0</v>
      </c>
      <c r="H232" s="1" t="str">
        <f t="shared" si="3"/>
        <v>M001</v>
      </c>
      <c r="I232" s="1" t="s">
        <v>51</v>
      </c>
      <c r="J232" s="1">
        <v>1.0</v>
      </c>
      <c r="K232" s="2">
        <v>2000.0</v>
      </c>
      <c r="L232" s="1">
        <v>21101.0</v>
      </c>
      <c r="M232" s="1" t="str">
        <f>VLOOKUP(L232,'Catálogos'!$A$2:$B$492,2,0)</f>
        <v>Materiales y útiles de oficina</v>
      </c>
      <c r="N232" s="1">
        <v>1.0</v>
      </c>
      <c r="O232" s="1">
        <v>4.0</v>
      </c>
      <c r="P232" s="1">
        <v>9.0</v>
      </c>
      <c r="Q232" s="1">
        <v>0.0</v>
      </c>
      <c r="R232" s="1">
        <v>80000.0</v>
      </c>
      <c r="S232" s="1">
        <v>66892.0</v>
      </c>
      <c r="T232" s="1">
        <v>66891.0</v>
      </c>
      <c r="U232" s="1">
        <v>66891.0</v>
      </c>
      <c r="V232" s="1">
        <v>66891.0</v>
      </c>
    </row>
    <row r="233" ht="15.75" customHeight="1">
      <c r="A233" s="1">
        <v>12.0</v>
      </c>
      <c r="B233" s="1" t="s">
        <v>22</v>
      </c>
      <c r="C233" s="1">
        <v>2.0</v>
      </c>
      <c r="D233" s="1">
        <v>3.0</v>
      </c>
      <c r="E233" s="1">
        <v>4.0</v>
      </c>
      <c r="F233" s="1">
        <v>0.0</v>
      </c>
      <c r="G233" s="1">
        <v>2.0</v>
      </c>
      <c r="H233" s="1" t="str">
        <f t="shared" si="3"/>
        <v>M001</v>
      </c>
      <c r="I233" s="1" t="s">
        <v>51</v>
      </c>
      <c r="J233" s="1">
        <v>1.0</v>
      </c>
      <c r="K233" s="2">
        <v>2000.0</v>
      </c>
      <c r="L233" s="1">
        <v>21401.0</v>
      </c>
      <c r="M233" s="1" t="str">
        <f>VLOOKUP(L233,'Catálogos'!$A$2:$B$492,2,0)</f>
        <v>Materiales y útiles consumibles para el procesamiento en equipos y bienes informáticos</v>
      </c>
      <c r="N233" s="1">
        <v>1.0</v>
      </c>
      <c r="O233" s="1">
        <v>4.0</v>
      </c>
      <c r="P233" s="1">
        <v>9.0</v>
      </c>
      <c r="Q233" s="1">
        <v>0.0</v>
      </c>
      <c r="R233" s="1">
        <v>7139.0</v>
      </c>
      <c r="S233" s="1">
        <v>570.0</v>
      </c>
      <c r="T233" s="1">
        <v>0.0</v>
      </c>
      <c r="U233" s="1">
        <v>0.0</v>
      </c>
      <c r="V233" s="1">
        <v>0.0</v>
      </c>
    </row>
    <row r="234" ht="15.75" customHeight="1">
      <c r="A234" s="1">
        <v>12.0</v>
      </c>
      <c r="B234" s="1" t="s">
        <v>22</v>
      </c>
      <c r="C234" s="1">
        <v>2.0</v>
      </c>
      <c r="D234" s="1">
        <v>3.0</v>
      </c>
      <c r="E234" s="1">
        <v>4.0</v>
      </c>
      <c r="F234" s="1">
        <v>0.0</v>
      </c>
      <c r="G234" s="1">
        <v>2.0</v>
      </c>
      <c r="H234" s="1" t="str">
        <f t="shared" si="3"/>
        <v>M001</v>
      </c>
      <c r="I234" s="1" t="s">
        <v>51</v>
      </c>
      <c r="J234" s="1">
        <v>1.0</v>
      </c>
      <c r="K234" s="2">
        <v>2000.0</v>
      </c>
      <c r="L234" s="1">
        <v>21601.0</v>
      </c>
      <c r="M234" s="1" t="str">
        <f>VLOOKUP(L234,'Catálogos'!$A$2:$B$492,2,0)</f>
        <v>Material de limpieza</v>
      </c>
      <c r="N234" s="1">
        <v>1.0</v>
      </c>
      <c r="O234" s="1">
        <v>4.0</v>
      </c>
      <c r="P234" s="1">
        <v>9.0</v>
      </c>
      <c r="Q234" s="1">
        <v>0.0</v>
      </c>
      <c r="R234" s="1">
        <v>0.0</v>
      </c>
      <c r="S234" s="1">
        <v>3284.0</v>
      </c>
      <c r="T234" s="1">
        <v>3283.0</v>
      </c>
      <c r="U234" s="1">
        <v>3283.0</v>
      </c>
      <c r="V234" s="1">
        <v>3283.0</v>
      </c>
    </row>
    <row r="235" ht="15.75" customHeight="1">
      <c r="A235" s="1">
        <v>12.0</v>
      </c>
      <c r="B235" s="1" t="s">
        <v>22</v>
      </c>
      <c r="C235" s="1">
        <v>2.0</v>
      </c>
      <c r="D235" s="1">
        <v>3.0</v>
      </c>
      <c r="E235" s="1">
        <v>4.0</v>
      </c>
      <c r="F235" s="1">
        <v>0.0</v>
      </c>
      <c r="G235" s="1">
        <v>2.0</v>
      </c>
      <c r="H235" s="1" t="str">
        <f t="shared" si="3"/>
        <v>M001</v>
      </c>
      <c r="I235" s="1" t="s">
        <v>51</v>
      </c>
      <c r="J235" s="1">
        <v>1.0</v>
      </c>
      <c r="K235" s="2">
        <v>2000.0</v>
      </c>
      <c r="L235" s="1">
        <v>22104.0</v>
      </c>
      <c r="M235" s="1" t="str">
        <f>VLOOKUP(L235,'Catálogos'!$A$2:$B$492,2,0)</f>
        <v>Productos alimenticios para el personal en las instalaciones de las dependencias y entidades</v>
      </c>
      <c r="N235" s="1">
        <v>1.0</v>
      </c>
      <c r="O235" s="1">
        <v>4.0</v>
      </c>
      <c r="P235" s="1">
        <v>9.0</v>
      </c>
      <c r="Q235" s="1">
        <v>0.0</v>
      </c>
      <c r="R235" s="1">
        <v>20000.0</v>
      </c>
      <c r="S235" s="1">
        <v>27588.0</v>
      </c>
      <c r="T235" s="1">
        <v>27587.0</v>
      </c>
      <c r="U235" s="1">
        <v>27587.0</v>
      </c>
      <c r="V235" s="1">
        <v>27587.0</v>
      </c>
    </row>
    <row r="236" ht="15.75" customHeight="1">
      <c r="A236" s="1">
        <v>12.0</v>
      </c>
      <c r="B236" s="1" t="s">
        <v>22</v>
      </c>
      <c r="C236" s="1">
        <v>2.0</v>
      </c>
      <c r="D236" s="1">
        <v>3.0</v>
      </c>
      <c r="E236" s="1">
        <v>4.0</v>
      </c>
      <c r="F236" s="1">
        <v>0.0</v>
      </c>
      <c r="G236" s="1">
        <v>2.0</v>
      </c>
      <c r="H236" s="1" t="str">
        <f t="shared" si="3"/>
        <v>M001</v>
      </c>
      <c r="I236" s="1" t="s">
        <v>51</v>
      </c>
      <c r="J236" s="1">
        <v>1.0</v>
      </c>
      <c r="K236" s="2">
        <v>2000.0</v>
      </c>
      <c r="L236" s="1">
        <v>24601.0</v>
      </c>
      <c r="M236" s="1" t="str">
        <f>VLOOKUP(L236,'Catálogos'!$A$2:$B$492,2,0)</f>
        <v>Material eléctrico y electrónico</v>
      </c>
      <c r="N236" s="1">
        <v>1.0</v>
      </c>
      <c r="O236" s="1">
        <v>4.0</v>
      </c>
      <c r="P236" s="1">
        <v>9.0</v>
      </c>
      <c r="Q236" s="1">
        <v>0.0</v>
      </c>
      <c r="R236" s="1">
        <v>15000.0</v>
      </c>
      <c r="S236" s="1">
        <v>8286.0</v>
      </c>
      <c r="T236" s="1">
        <v>8286.0</v>
      </c>
      <c r="U236" s="1">
        <v>8286.0</v>
      </c>
      <c r="V236" s="1">
        <v>8286.0</v>
      </c>
    </row>
    <row r="237" ht="15.75" customHeight="1">
      <c r="A237" s="1">
        <v>12.0</v>
      </c>
      <c r="B237" s="1" t="s">
        <v>22</v>
      </c>
      <c r="C237" s="1">
        <v>2.0</v>
      </c>
      <c r="D237" s="1">
        <v>3.0</v>
      </c>
      <c r="E237" s="1">
        <v>4.0</v>
      </c>
      <c r="F237" s="1">
        <v>0.0</v>
      </c>
      <c r="G237" s="1">
        <v>2.0</v>
      </c>
      <c r="H237" s="1" t="str">
        <f t="shared" si="3"/>
        <v>M001</v>
      </c>
      <c r="I237" s="1" t="s">
        <v>51</v>
      </c>
      <c r="J237" s="1">
        <v>1.0</v>
      </c>
      <c r="K237" s="2">
        <v>2000.0</v>
      </c>
      <c r="L237" s="1">
        <v>24701.0</v>
      </c>
      <c r="M237" s="1" t="str">
        <f>VLOOKUP(L237,'Catálogos'!$A$2:$B$492,2,0)</f>
        <v>Artículos metálicos para la construcción</v>
      </c>
      <c r="N237" s="1">
        <v>1.0</v>
      </c>
      <c r="O237" s="1">
        <v>4.0</v>
      </c>
      <c r="P237" s="1">
        <v>9.0</v>
      </c>
      <c r="Q237" s="1">
        <v>0.0</v>
      </c>
      <c r="R237" s="1">
        <v>40000.0</v>
      </c>
      <c r="S237" s="1">
        <v>13405.0</v>
      </c>
      <c r="T237" s="1">
        <v>13405.0</v>
      </c>
      <c r="U237" s="1">
        <v>13405.0</v>
      </c>
      <c r="V237" s="1">
        <v>13405.0</v>
      </c>
    </row>
    <row r="238" ht="15.75" customHeight="1">
      <c r="A238" s="1">
        <v>12.0</v>
      </c>
      <c r="B238" s="1" t="s">
        <v>22</v>
      </c>
      <c r="C238" s="1">
        <v>2.0</v>
      </c>
      <c r="D238" s="1">
        <v>3.0</v>
      </c>
      <c r="E238" s="1">
        <v>4.0</v>
      </c>
      <c r="F238" s="1">
        <v>0.0</v>
      </c>
      <c r="G238" s="1">
        <v>2.0</v>
      </c>
      <c r="H238" s="1" t="str">
        <f t="shared" si="3"/>
        <v>M001</v>
      </c>
      <c r="I238" s="1" t="s">
        <v>51</v>
      </c>
      <c r="J238" s="1">
        <v>1.0</v>
      </c>
      <c r="K238" s="2">
        <v>2000.0</v>
      </c>
      <c r="L238" s="1">
        <v>24801.0</v>
      </c>
      <c r="M238" s="1" t="str">
        <f>VLOOKUP(L238,'Catálogos'!$A$2:$B$492,2,0)</f>
        <v>Materiales complementarios</v>
      </c>
      <c r="N238" s="1">
        <v>1.0</v>
      </c>
      <c r="O238" s="1">
        <v>4.0</v>
      </c>
      <c r="P238" s="1">
        <v>9.0</v>
      </c>
      <c r="Q238" s="1">
        <v>0.0</v>
      </c>
      <c r="R238" s="1">
        <v>0.0</v>
      </c>
      <c r="S238" s="1">
        <v>899.0</v>
      </c>
      <c r="T238" s="1">
        <v>899.0</v>
      </c>
      <c r="U238" s="1">
        <v>899.0</v>
      </c>
      <c r="V238" s="1">
        <v>899.0</v>
      </c>
    </row>
    <row r="239" ht="15.75" customHeight="1">
      <c r="A239" s="1">
        <v>12.0</v>
      </c>
      <c r="B239" s="1" t="s">
        <v>22</v>
      </c>
      <c r="C239" s="1">
        <v>2.0</v>
      </c>
      <c r="D239" s="1">
        <v>3.0</v>
      </c>
      <c r="E239" s="1">
        <v>4.0</v>
      </c>
      <c r="F239" s="1">
        <v>0.0</v>
      </c>
      <c r="G239" s="1">
        <v>2.0</v>
      </c>
      <c r="H239" s="1" t="str">
        <f t="shared" si="3"/>
        <v>M001</v>
      </c>
      <c r="I239" s="1" t="s">
        <v>51</v>
      </c>
      <c r="J239" s="1">
        <v>1.0</v>
      </c>
      <c r="K239" s="2">
        <v>2000.0</v>
      </c>
      <c r="L239" s="1">
        <v>24901.0</v>
      </c>
      <c r="M239" s="1" t="str">
        <f>VLOOKUP(L239,'Catálogos'!$A$2:$B$492,2,0)</f>
        <v>Otros materiales y artículos de construcción y reparación</v>
      </c>
      <c r="N239" s="1">
        <v>1.0</v>
      </c>
      <c r="O239" s="1">
        <v>4.0</v>
      </c>
      <c r="P239" s="1">
        <v>9.0</v>
      </c>
      <c r="Q239" s="1">
        <v>0.0</v>
      </c>
      <c r="R239" s="1">
        <v>25000.0</v>
      </c>
      <c r="S239" s="1">
        <v>17300.0</v>
      </c>
      <c r="T239" s="1">
        <v>16941.0</v>
      </c>
      <c r="U239" s="1">
        <v>16941.0</v>
      </c>
      <c r="V239" s="1">
        <v>16941.0</v>
      </c>
    </row>
    <row r="240" ht="15.75" customHeight="1">
      <c r="A240" s="1">
        <v>12.0</v>
      </c>
      <c r="B240" s="1" t="s">
        <v>22</v>
      </c>
      <c r="C240" s="1">
        <v>2.0</v>
      </c>
      <c r="D240" s="1">
        <v>3.0</v>
      </c>
      <c r="E240" s="1">
        <v>4.0</v>
      </c>
      <c r="F240" s="1">
        <v>0.0</v>
      </c>
      <c r="G240" s="1">
        <v>2.0</v>
      </c>
      <c r="H240" s="1" t="str">
        <f t="shared" si="3"/>
        <v>M001</v>
      </c>
      <c r="I240" s="1" t="s">
        <v>51</v>
      </c>
      <c r="J240" s="1">
        <v>1.0</v>
      </c>
      <c r="K240" s="2">
        <v>2000.0</v>
      </c>
      <c r="L240" s="1">
        <v>29101.0</v>
      </c>
      <c r="M240" s="1" t="str">
        <f>VLOOKUP(L240,'Catálogos'!$A$2:$B$492,2,0)</f>
        <v>Herramientas menores</v>
      </c>
      <c r="N240" s="1">
        <v>1.0</v>
      </c>
      <c r="O240" s="1">
        <v>4.0</v>
      </c>
      <c r="P240" s="1">
        <v>9.0</v>
      </c>
      <c r="Q240" s="1">
        <v>0.0</v>
      </c>
      <c r="R240" s="1">
        <v>25000.0</v>
      </c>
      <c r="S240" s="1">
        <v>6885.0</v>
      </c>
      <c r="T240" s="1">
        <v>5861.0</v>
      </c>
      <c r="U240" s="1">
        <v>5861.0</v>
      </c>
      <c r="V240" s="1">
        <v>5861.0</v>
      </c>
    </row>
    <row r="241" ht="15.75" customHeight="1">
      <c r="A241" s="1">
        <v>12.0</v>
      </c>
      <c r="B241" s="1" t="s">
        <v>22</v>
      </c>
      <c r="C241" s="1">
        <v>2.0</v>
      </c>
      <c r="D241" s="1">
        <v>3.0</v>
      </c>
      <c r="E241" s="1">
        <v>4.0</v>
      </c>
      <c r="F241" s="1">
        <v>0.0</v>
      </c>
      <c r="G241" s="1">
        <v>2.0</v>
      </c>
      <c r="H241" s="1" t="str">
        <f t="shared" si="3"/>
        <v>M001</v>
      </c>
      <c r="I241" s="1" t="s">
        <v>51</v>
      </c>
      <c r="J241" s="1">
        <v>1.0</v>
      </c>
      <c r="K241" s="2">
        <v>2000.0</v>
      </c>
      <c r="L241" s="1">
        <v>29201.0</v>
      </c>
      <c r="M241" s="1" t="str">
        <f>VLOOKUP(L241,'Catálogos'!$A$2:$B$492,2,0)</f>
        <v>Refacciones y accesorios menores de edificios</v>
      </c>
      <c r="N241" s="1">
        <v>1.0</v>
      </c>
      <c r="O241" s="1">
        <v>4.0</v>
      </c>
      <c r="P241" s="1">
        <v>9.0</v>
      </c>
      <c r="Q241" s="1">
        <v>0.0</v>
      </c>
      <c r="R241" s="1">
        <v>0.0</v>
      </c>
      <c r="S241" s="1">
        <v>4304.0</v>
      </c>
      <c r="T241" s="1">
        <v>4304.0</v>
      </c>
      <c r="U241" s="1">
        <v>4304.0</v>
      </c>
      <c r="V241" s="1">
        <v>4304.0</v>
      </c>
    </row>
    <row r="242" ht="15.75" customHeight="1">
      <c r="A242" s="1">
        <v>12.0</v>
      </c>
      <c r="B242" s="1" t="s">
        <v>22</v>
      </c>
      <c r="C242" s="1">
        <v>2.0</v>
      </c>
      <c r="D242" s="1">
        <v>3.0</v>
      </c>
      <c r="E242" s="1">
        <v>4.0</v>
      </c>
      <c r="F242" s="1">
        <v>0.0</v>
      </c>
      <c r="G242" s="1">
        <v>2.0</v>
      </c>
      <c r="H242" s="1" t="str">
        <f t="shared" si="3"/>
        <v>M001</v>
      </c>
      <c r="I242" s="1" t="s">
        <v>51</v>
      </c>
      <c r="J242" s="1">
        <v>1.0</v>
      </c>
      <c r="K242" s="2">
        <v>2000.0</v>
      </c>
      <c r="L242" s="1">
        <v>29401.0</v>
      </c>
      <c r="M242" s="1" t="str">
        <f>VLOOKUP(L242,'Catálogos'!$A$2:$B$492,2,0)</f>
        <v>Refacciones y accesorios para equipo de cómputo y telecomunicaciones</v>
      </c>
      <c r="N242" s="1">
        <v>1.0</v>
      </c>
      <c r="O242" s="1">
        <v>4.0</v>
      </c>
      <c r="P242" s="1">
        <v>9.0</v>
      </c>
      <c r="Q242" s="1">
        <v>0.0</v>
      </c>
      <c r="R242" s="1">
        <v>0.0</v>
      </c>
      <c r="S242" s="1">
        <v>6984.0</v>
      </c>
      <c r="T242" s="1">
        <v>6983.0</v>
      </c>
      <c r="U242" s="1">
        <v>6983.0</v>
      </c>
      <c r="V242" s="1">
        <v>6983.0</v>
      </c>
    </row>
    <row r="243" ht="15.75" customHeight="1">
      <c r="A243" s="1">
        <v>12.0</v>
      </c>
      <c r="B243" s="1" t="s">
        <v>22</v>
      </c>
      <c r="C243" s="1">
        <v>2.0</v>
      </c>
      <c r="D243" s="1">
        <v>3.0</v>
      </c>
      <c r="E243" s="1">
        <v>4.0</v>
      </c>
      <c r="F243" s="1">
        <v>0.0</v>
      </c>
      <c r="G243" s="1">
        <v>2.0</v>
      </c>
      <c r="H243" s="1" t="str">
        <f t="shared" si="3"/>
        <v>M001</v>
      </c>
      <c r="I243" s="1" t="s">
        <v>51</v>
      </c>
      <c r="J243" s="1">
        <v>1.0</v>
      </c>
      <c r="K243" s="2">
        <v>2000.0</v>
      </c>
      <c r="L243" s="1">
        <v>29801.0</v>
      </c>
      <c r="M243" s="1" t="str">
        <f>VLOOKUP(L243,'Catálogos'!$A$2:$B$492,2,0)</f>
        <v>Refacciones y accesorios menores de maquinaria y otros equipos</v>
      </c>
      <c r="N243" s="1">
        <v>1.0</v>
      </c>
      <c r="O243" s="1">
        <v>4.0</v>
      </c>
      <c r="P243" s="1">
        <v>9.0</v>
      </c>
      <c r="Q243" s="1">
        <v>0.0</v>
      </c>
      <c r="R243" s="1">
        <v>0.0</v>
      </c>
      <c r="S243" s="1">
        <v>16904.0</v>
      </c>
      <c r="T243" s="1">
        <v>16904.0</v>
      </c>
      <c r="U243" s="1">
        <v>16904.0</v>
      </c>
      <c r="V243" s="1">
        <v>16904.0</v>
      </c>
    </row>
    <row r="244" ht="15.75" customHeight="1">
      <c r="A244" s="1">
        <v>12.0</v>
      </c>
      <c r="B244" s="1" t="s">
        <v>22</v>
      </c>
      <c r="C244" s="1">
        <v>2.0</v>
      </c>
      <c r="D244" s="1">
        <v>3.0</v>
      </c>
      <c r="E244" s="1">
        <v>4.0</v>
      </c>
      <c r="F244" s="1">
        <v>0.0</v>
      </c>
      <c r="G244" s="1">
        <v>2.0</v>
      </c>
      <c r="H244" s="1" t="str">
        <f t="shared" si="3"/>
        <v>M001</v>
      </c>
      <c r="I244" s="1" t="s">
        <v>51</v>
      </c>
      <c r="J244" s="1">
        <v>1.0</v>
      </c>
      <c r="K244" s="2">
        <v>3000.0</v>
      </c>
      <c r="L244" s="1">
        <v>31101.0</v>
      </c>
      <c r="M244" s="1" t="str">
        <f>VLOOKUP(L244,'Catálogos'!$A$2:$B$492,2,0)</f>
        <v>Servicio de energía eléctrica</v>
      </c>
      <c r="N244" s="1">
        <v>1.0</v>
      </c>
      <c r="O244" s="1">
        <v>1.0</v>
      </c>
      <c r="P244" s="1">
        <v>9.0</v>
      </c>
      <c r="Q244" s="1">
        <v>0.0</v>
      </c>
      <c r="R244" s="1">
        <v>1649297.0</v>
      </c>
      <c r="S244" s="1">
        <v>1569251.0</v>
      </c>
      <c r="T244" s="1">
        <v>1569251.0</v>
      </c>
      <c r="U244" s="1">
        <v>1569251.0</v>
      </c>
      <c r="V244" s="1">
        <v>1569251.0</v>
      </c>
    </row>
    <row r="245" ht="15.75" customHeight="1">
      <c r="A245" s="1">
        <v>12.0</v>
      </c>
      <c r="B245" s="1" t="s">
        <v>22</v>
      </c>
      <c r="C245" s="1">
        <v>2.0</v>
      </c>
      <c r="D245" s="1">
        <v>3.0</v>
      </c>
      <c r="E245" s="1">
        <v>4.0</v>
      </c>
      <c r="F245" s="1">
        <v>0.0</v>
      </c>
      <c r="G245" s="1">
        <v>2.0</v>
      </c>
      <c r="H245" s="1" t="str">
        <f t="shared" si="3"/>
        <v>M001</v>
      </c>
      <c r="I245" s="1" t="s">
        <v>51</v>
      </c>
      <c r="J245" s="1">
        <v>1.0</v>
      </c>
      <c r="K245" s="2">
        <v>3000.0</v>
      </c>
      <c r="L245" s="1">
        <v>31101.0</v>
      </c>
      <c r="M245" s="1" t="str">
        <f>VLOOKUP(L245,'Catálogos'!$A$2:$B$492,2,0)</f>
        <v>Servicio de energía eléctrica</v>
      </c>
      <c r="N245" s="1">
        <v>1.0</v>
      </c>
      <c r="O245" s="1">
        <v>4.0</v>
      </c>
      <c r="P245" s="1">
        <v>9.0</v>
      </c>
      <c r="Q245" s="1">
        <v>0.0</v>
      </c>
      <c r="R245" s="1">
        <v>199459.0</v>
      </c>
      <c r="S245" s="1">
        <v>239029.0</v>
      </c>
      <c r="T245" s="1">
        <v>239029.0</v>
      </c>
      <c r="U245" s="1">
        <v>239029.0</v>
      </c>
      <c r="V245" s="1">
        <v>239029.0</v>
      </c>
    </row>
    <row r="246" ht="15.75" customHeight="1">
      <c r="A246" s="1">
        <v>12.0</v>
      </c>
      <c r="B246" s="1" t="s">
        <v>22</v>
      </c>
      <c r="C246" s="1">
        <v>2.0</v>
      </c>
      <c r="D246" s="1">
        <v>3.0</v>
      </c>
      <c r="E246" s="1">
        <v>4.0</v>
      </c>
      <c r="F246" s="1">
        <v>0.0</v>
      </c>
      <c r="G246" s="1">
        <v>2.0</v>
      </c>
      <c r="H246" s="1" t="str">
        <f t="shared" si="3"/>
        <v>M001</v>
      </c>
      <c r="I246" s="1" t="s">
        <v>51</v>
      </c>
      <c r="J246" s="1">
        <v>1.0</v>
      </c>
      <c r="K246" s="2">
        <v>3000.0</v>
      </c>
      <c r="L246" s="1">
        <v>31401.0</v>
      </c>
      <c r="M246" s="1" t="str">
        <f>VLOOKUP(L246,'Catálogos'!$A$2:$B$492,2,0)</f>
        <v>Servicio telefónico convencional</v>
      </c>
      <c r="N246" s="1">
        <v>1.0</v>
      </c>
      <c r="O246" s="1">
        <v>1.0</v>
      </c>
      <c r="P246" s="1">
        <v>9.0</v>
      </c>
      <c r="Q246" s="1">
        <v>0.0</v>
      </c>
      <c r="R246" s="1">
        <v>54432.0</v>
      </c>
      <c r="S246" s="1">
        <v>54432.0</v>
      </c>
      <c r="T246" s="1">
        <v>54432.0</v>
      </c>
      <c r="U246" s="1">
        <v>54432.0</v>
      </c>
      <c r="V246" s="1">
        <v>54432.0</v>
      </c>
    </row>
    <row r="247" ht="15.75" customHeight="1">
      <c r="A247" s="1">
        <v>12.0</v>
      </c>
      <c r="B247" s="1" t="s">
        <v>22</v>
      </c>
      <c r="C247" s="1">
        <v>2.0</v>
      </c>
      <c r="D247" s="1">
        <v>3.0</v>
      </c>
      <c r="E247" s="1">
        <v>4.0</v>
      </c>
      <c r="F247" s="1">
        <v>0.0</v>
      </c>
      <c r="G247" s="1">
        <v>2.0</v>
      </c>
      <c r="H247" s="1" t="str">
        <f t="shared" si="3"/>
        <v>M001</v>
      </c>
      <c r="I247" s="1" t="s">
        <v>51</v>
      </c>
      <c r="J247" s="1">
        <v>1.0</v>
      </c>
      <c r="K247" s="2">
        <v>3000.0</v>
      </c>
      <c r="L247" s="1">
        <v>31401.0</v>
      </c>
      <c r="M247" s="1" t="str">
        <f>VLOOKUP(L247,'Catálogos'!$A$2:$B$492,2,0)</f>
        <v>Servicio telefónico convencional</v>
      </c>
      <c r="N247" s="1">
        <v>1.0</v>
      </c>
      <c r="O247" s="1">
        <v>4.0</v>
      </c>
      <c r="P247" s="1">
        <v>9.0</v>
      </c>
      <c r="Q247" s="1">
        <v>0.0</v>
      </c>
      <c r="R247" s="1">
        <v>8499.0</v>
      </c>
      <c r="S247" s="1">
        <v>4250.0</v>
      </c>
      <c r="T247" s="1">
        <v>4250.0</v>
      </c>
      <c r="U247" s="1">
        <v>4250.0</v>
      </c>
      <c r="V247" s="1">
        <v>4250.0</v>
      </c>
    </row>
    <row r="248" ht="15.75" customHeight="1">
      <c r="A248" s="1">
        <v>12.0</v>
      </c>
      <c r="B248" s="1" t="s">
        <v>22</v>
      </c>
      <c r="C248" s="1">
        <v>2.0</v>
      </c>
      <c r="D248" s="1">
        <v>3.0</v>
      </c>
      <c r="E248" s="1">
        <v>4.0</v>
      </c>
      <c r="F248" s="1">
        <v>0.0</v>
      </c>
      <c r="G248" s="1">
        <v>2.0</v>
      </c>
      <c r="H248" s="1" t="str">
        <f t="shared" si="3"/>
        <v>M001</v>
      </c>
      <c r="I248" s="1" t="s">
        <v>51</v>
      </c>
      <c r="J248" s="1">
        <v>1.0</v>
      </c>
      <c r="K248" s="2">
        <v>3000.0</v>
      </c>
      <c r="L248" s="1">
        <v>31701.0</v>
      </c>
      <c r="M248" s="1" t="str">
        <f>VLOOKUP(L248,'Catálogos'!$A$2:$B$492,2,0)</f>
        <v>Servicios de conducción de señales analógicas y digitales</v>
      </c>
      <c r="N248" s="1">
        <v>1.0</v>
      </c>
      <c r="O248" s="1">
        <v>1.0</v>
      </c>
      <c r="P248" s="1">
        <v>9.0</v>
      </c>
      <c r="Q248" s="1">
        <v>0.0</v>
      </c>
      <c r="R248" s="1">
        <v>29551.0</v>
      </c>
      <c r="S248" s="1">
        <v>11571.0</v>
      </c>
      <c r="T248" s="1">
        <v>11571.0</v>
      </c>
      <c r="U248" s="1">
        <v>11571.0</v>
      </c>
      <c r="V248" s="1">
        <v>11571.0</v>
      </c>
    </row>
    <row r="249" ht="15.75" customHeight="1">
      <c r="A249" s="1">
        <v>12.0</v>
      </c>
      <c r="B249" s="1" t="s">
        <v>22</v>
      </c>
      <c r="C249" s="1">
        <v>2.0</v>
      </c>
      <c r="D249" s="1">
        <v>3.0</v>
      </c>
      <c r="E249" s="1">
        <v>4.0</v>
      </c>
      <c r="F249" s="1">
        <v>0.0</v>
      </c>
      <c r="G249" s="1">
        <v>2.0</v>
      </c>
      <c r="H249" s="1" t="str">
        <f t="shared" si="3"/>
        <v>M001</v>
      </c>
      <c r="I249" s="1" t="s">
        <v>51</v>
      </c>
      <c r="J249" s="1">
        <v>1.0</v>
      </c>
      <c r="K249" s="2">
        <v>3000.0</v>
      </c>
      <c r="L249" s="1">
        <v>31701.0</v>
      </c>
      <c r="M249" s="1" t="str">
        <f>VLOOKUP(L249,'Catálogos'!$A$2:$B$492,2,0)</f>
        <v>Servicios de conducción de señales analógicas y digitales</v>
      </c>
      <c r="N249" s="1">
        <v>1.0</v>
      </c>
      <c r="O249" s="1">
        <v>4.0</v>
      </c>
      <c r="P249" s="1">
        <v>9.0</v>
      </c>
      <c r="Q249" s="1">
        <v>0.0</v>
      </c>
      <c r="R249" s="1">
        <v>17000.0</v>
      </c>
      <c r="S249" s="1">
        <v>10000.0</v>
      </c>
      <c r="T249" s="1">
        <v>8008.0</v>
      </c>
      <c r="U249" s="1">
        <v>8008.0</v>
      </c>
      <c r="V249" s="1">
        <v>8008.0</v>
      </c>
    </row>
    <row r="250" ht="15.75" customHeight="1">
      <c r="A250" s="1">
        <v>12.0</v>
      </c>
      <c r="B250" s="1" t="s">
        <v>22</v>
      </c>
      <c r="C250" s="1">
        <v>2.0</v>
      </c>
      <c r="D250" s="1">
        <v>3.0</v>
      </c>
      <c r="E250" s="1">
        <v>4.0</v>
      </c>
      <c r="F250" s="1">
        <v>0.0</v>
      </c>
      <c r="G250" s="1">
        <v>2.0</v>
      </c>
      <c r="H250" s="1" t="str">
        <f t="shared" si="3"/>
        <v>M001</v>
      </c>
      <c r="I250" s="1" t="s">
        <v>51</v>
      </c>
      <c r="J250" s="1">
        <v>1.0</v>
      </c>
      <c r="K250" s="2">
        <v>3000.0</v>
      </c>
      <c r="L250" s="1">
        <v>31801.0</v>
      </c>
      <c r="M250" s="1" t="str">
        <f>VLOOKUP(L250,'Catálogos'!$A$2:$B$492,2,0)</f>
        <v>Servicio postal</v>
      </c>
      <c r="N250" s="1">
        <v>1.0</v>
      </c>
      <c r="O250" s="1">
        <v>4.0</v>
      </c>
      <c r="P250" s="1">
        <v>9.0</v>
      </c>
      <c r="Q250" s="1">
        <v>0.0</v>
      </c>
      <c r="R250" s="1">
        <v>2000.0</v>
      </c>
      <c r="S250" s="1">
        <v>4469.0</v>
      </c>
      <c r="T250" s="1">
        <v>4468.0</v>
      </c>
      <c r="U250" s="1">
        <v>4468.0</v>
      </c>
      <c r="V250" s="1">
        <v>4468.0</v>
      </c>
    </row>
    <row r="251" ht="15.75" customHeight="1">
      <c r="A251" s="1">
        <v>12.0</v>
      </c>
      <c r="B251" s="1" t="s">
        <v>22</v>
      </c>
      <c r="C251" s="1">
        <v>2.0</v>
      </c>
      <c r="D251" s="1">
        <v>3.0</v>
      </c>
      <c r="E251" s="1">
        <v>4.0</v>
      </c>
      <c r="F251" s="1">
        <v>0.0</v>
      </c>
      <c r="G251" s="1">
        <v>2.0</v>
      </c>
      <c r="H251" s="1" t="str">
        <f t="shared" si="3"/>
        <v>M001</v>
      </c>
      <c r="I251" s="1" t="s">
        <v>51</v>
      </c>
      <c r="J251" s="1">
        <v>1.0</v>
      </c>
      <c r="K251" s="2">
        <v>3000.0</v>
      </c>
      <c r="L251" s="1">
        <v>31802.0</v>
      </c>
      <c r="M251" s="1" t="str">
        <f>VLOOKUP(L251,'Catálogos'!$A$2:$B$492,2,0)</f>
        <v>Servicio telegráfico</v>
      </c>
      <c r="N251" s="1">
        <v>1.0</v>
      </c>
      <c r="O251" s="1">
        <v>4.0</v>
      </c>
      <c r="P251" s="1">
        <v>9.0</v>
      </c>
      <c r="Q251" s="1">
        <v>0.0</v>
      </c>
      <c r="R251" s="1">
        <v>100.0</v>
      </c>
      <c r="S251" s="1">
        <v>100.0</v>
      </c>
      <c r="T251" s="1">
        <v>0.0</v>
      </c>
      <c r="U251" s="1">
        <v>0.0</v>
      </c>
      <c r="V251" s="1">
        <v>0.0</v>
      </c>
    </row>
    <row r="252" ht="15.75" customHeight="1">
      <c r="A252" s="1">
        <v>12.0</v>
      </c>
      <c r="B252" s="1" t="s">
        <v>22</v>
      </c>
      <c r="C252" s="1">
        <v>2.0</v>
      </c>
      <c r="D252" s="1">
        <v>3.0</v>
      </c>
      <c r="E252" s="1">
        <v>4.0</v>
      </c>
      <c r="F252" s="1">
        <v>0.0</v>
      </c>
      <c r="G252" s="1">
        <v>2.0</v>
      </c>
      <c r="H252" s="1" t="str">
        <f t="shared" si="3"/>
        <v>M001</v>
      </c>
      <c r="I252" s="1" t="s">
        <v>51</v>
      </c>
      <c r="J252" s="1">
        <v>1.0</v>
      </c>
      <c r="K252" s="2">
        <v>3000.0</v>
      </c>
      <c r="L252" s="1">
        <v>32301.0</v>
      </c>
      <c r="M252" s="1" t="str">
        <f>VLOOKUP(L252,'Catálogos'!$A$2:$B$492,2,0)</f>
        <v>Arrendamiento de equipo y bienes informáticos</v>
      </c>
      <c r="N252" s="1">
        <v>1.0</v>
      </c>
      <c r="O252" s="1">
        <v>1.0</v>
      </c>
      <c r="P252" s="1">
        <v>9.0</v>
      </c>
      <c r="Q252" s="1">
        <v>0.0</v>
      </c>
      <c r="R252" s="1">
        <v>84571.0</v>
      </c>
      <c r="S252" s="1">
        <v>1119791.0</v>
      </c>
      <c r="T252" s="1">
        <v>1119791.0</v>
      </c>
      <c r="U252" s="1">
        <v>1119791.0</v>
      </c>
      <c r="V252" s="1">
        <v>1119791.0</v>
      </c>
    </row>
    <row r="253" ht="15.75" customHeight="1">
      <c r="A253" s="1">
        <v>12.0</v>
      </c>
      <c r="B253" s="1" t="s">
        <v>22</v>
      </c>
      <c r="C253" s="1">
        <v>2.0</v>
      </c>
      <c r="D253" s="1">
        <v>3.0</v>
      </c>
      <c r="E253" s="1">
        <v>4.0</v>
      </c>
      <c r="F253" s="1">
        <v>0.0</v>
      </c>
      <c r="G253" s="1">
        <v>2.0</v>
      </c>
      <c r="H253" s="1" t="str">
        <f t="shared" si="3"/>
        <v>M001</v>
      </c>
      <c r="I253" s="1" t="s">
        <v>51</v>
      </c>
      <c r="J253" s="1">
        <v>1.0</v>
      </c>
      <c r="K253" s="2">
        <v>3000.0</v>
      </c>
      <c r="L253" s="1">
        <v>32301.0</v>
      </c>
      <c r="M253" s="1" t="str">
        <f>VLOOKUP(L253,'Catálogos'!$A$2:$B$492,2,0)</f>
        <v>Arrendamiento de equipo y bienes informáticos</v>
      </c>
      <c r="N253" s="1">
        <v>1.0</v>
      </c>
      <c r="O253" s="1">
        <v>4.0</v>
      </c>
      <c r="P253" s="1">
        <v>9.0</v>
      </c>
      <c r="Q253" s="1">
        <v>0.0</v>
      </c>
      <c r="R253" s="1">
        <v>23654.0</v>
      </c>
      <c r="S253" s="1">
        <v>0.0</v>
      </c>
      <c r="T253" s="1">
        <v>0.0</v>
      </c>
      <c r="U253" s="1">
        <v>0.0</v>
      </c>
      <c r="V253" s="1">
        <v>0.0</v>
      </c>
    </row>
    <row r="254" ht="15.75" customHeight="1">
      <c r="A254" s="1">
        <v>12.0</v>
      </c>
      <c r="B254" s="1" t="s">
        <v>22</v>
      </c>
      <c r="C254" s="1">
        <v>2.0</v>
      </c>
      <c r="D254" s="1">
        <v>3.0</v>
      </c>
      <c r="E254" s="1">
        <v>4.0</v>
      </c>
      <c r="F254" s="1">
        <v>0.0</v>
      </c>
      <c r="G254" s="1">
        <v>2.0</v>
      </c>
      <c r="H254" s="1" t="str">
        <f t="shared" si="3"/>
        <v>M001</v>
      </c>
      <c r="I254" s="1" t="s">
        <v>51</v>
      </c>
      <c r="J254" s="1">
        <v>1.0</v>
      </c>
      <c r="K254" s="2">
        <v>3000.0</v>
      </c>
      <c r="L254" s="1">
        <v>32502.0</v>
      </c>
      <c r="M254" s="1" t="str">
        <f>VLOOKUP(L254,'Catálogos'!$A$2:$B$492,2,0)</f>
        <v>Arrendamiento de vehículos terrestres, aéreos, marítimos, lacustres y fluviales para servicios públicos y la operación de programas públicos</v>
      </c>
      <c r="N254" s="1">
        <v>1.0</v>
      </c>
      <c r="O254" s="1">
        <v>1.0</v>
      </c>
      <c r="P254" s="1">
        <v>9.0</v>
      </c>
      <c r="Q254" s="1">
        <v>0.0</v>
      </c>
      <c r="R254" s="1">
        <v>70708.0</v>
      </c>
      <c r="S254" s="1">
        <v>130204.0</v>
      </c>
      <c r="T254" s="1">
        <v>130204.0</v>
      </c>
      <c r="U254" s="1">
        <v>130204.0</v>
      </c>
      <c r="V254" s="1">
        <v>130204.0</v>
      </c>
    </row>
    <row r="255" ht="15.75" customHeight="1">
      <c r="A255" s="1">
        <v>12.0</v>
      </c>
      <c r="B255" s="1" t="s">
        <v>22</v>
      </c>
      <c r="C255" s="1">
        <v>2.0</v>
      </c>
      <c r="D255" s="1">
        <v>3.0</v>
      </c>
      <c r="E255" s="1">
        <v>4.0</v>
      </c>
      <c r="F255" s="1">
        <v>0.0</v>
      </c>
      <c r="G255" s="1">
        <v>2.0</v>
      </c>
      <c r="H255" s="1" t="str">
        <f t="shared" si="3"/>
        <v>M001</v>
      </c>
      <c r="I255" s="1" t="s">
        <v>51</v>
      </c>
      <c r="J255" s="1">
        <v>1.0</v>
      </c>
      <c r="K255" s="2">
        <v>3000.0</v>
      </c>
      <c r="L255" s="1">
        <v>32502.0</v>
      </c>
      <c r="M255" s="1" t="str">
        <f>VLOOKUP(L255,'Catálogos'!$A$2:$B$492,2,0)</f>
        <v>Arrendamiento de vehículos terrestres, aéreos, marítimos, lacustres y fluviales para servicios públicos y la operación de programas públicos</v>
      </c>
      <c r="N255" s="1">
        <v>1.0</v>
      </c>
      <c r="O255" s="1">
        <v>4.0</v>
      </c>
      <c r="P255" s="1">
        <v>9.0</v>
      </c>
      <c r="Q255" s="1">
        <v>0.0</v>
      </c>
      <c r="R255" s="1">
        <v>5200.0</v>
      </c>
      <c r="S255" s="1">
        <v>0.0</v>
      </c>
      <c r="T255" s="1">
        <v>0.0</v>
      </c>
      <c r="U255" s="1">
        <v>0.0</v>
      </c>
      <c r="V255" s="1">
        <v>0.0</v>
      </c>
    </row>
    <row r="256" ht="15.75" customHeight="1">
      <c r="A256" s="1">
        <v>12.0</v>
      </c>
      <c r="B256" s="1" t="s">
        <v>22</v>
      </c>
      <c r="C256" s="1">
        <v>2.0</v>
      </c>
      <c r="D256" s="1">
        <v>3.0</v>
      </c>
      <c r="E256" s="1">
        <v>4.0</v>
      </c>
      <c r="F256" s="1">
        <v>0.0</v>
      </c>
      <c r="G256" s="1">
        <v>2.0</v>
      </c>
      <c r="H256" s="1" t="str">
        <f t="shared" si="3"/>
        <v>M001</v>
      </c>
      <c r="I256" s="1" t="s">
        <v>51</v>
      </c>
      <c r="J256" s="1">
        <v>1.0</v>
      </c>
      <c r="K256" s="2">
        <v>3000.0</v>
      </c>
      <c r="L256" s="1">
        <v>32701.0</v>
      </c>
      <c r="M256" s="1" t="str">
        <f>VLOOKUP(L256,'Catálogos'!$A$2:$B$492,2,0)</f>
        <v>Patentes, derechos de autor, regalías y otros</v>
      </c>
      <c r="N256" s="1">
        <v>1.0</v>
      </c>
      <c r="O256" s="1">
        <v>1.0</v>
      </c>
      <c r="P256" s="1">
        <v>9.0</v>
      </c>
      <c r="Q256" s="1">
        <v>0.0</v>
      </c>
      <c r="R256" s="1">
        <v>6528.0</v>
      </c>
      <c r="S256" s="1">
        <v>0.0</v>
      </c>
      <c r="T256" s="1">
        <v>0.0</v>
      </c>
      <c r="U256" s="1">
        <v>0.0</v>
      </c>
      <c r="V256" s="1">
        <v>0.0</v>
      </c>
    </row>
    <row r="257" ht="15.75" customHeight="1">
      <c r="A257" s="1">
        <v>12.0</v>
      </c>
      <c r="B257" s="1" t="s">
        <v>22</v>
      </c>
      <c r="C257" s="1">
        <v>2.0</v>
      </c>
      <c r="D257" s="1">
        <v>3.0</v>
      </c>
      <c r="E257" s="1">
        <v>4.0</v>
      </c>
      <c r="F257" s="1">
        <v>0.0</v>
      </c>
      <c r="G257" s="1">
        <v>2.0</v>
      </c>
      <c r="H257" s="1" t="str">
        <f t="shared" si="3"/>
        <v>M001</v>
      </c>
      <c r="I257" s="1" t="s">
        <v>51</v>
      </c>
      <c r="J257" s="1">
        <v>1.0</v>
      </c>
      <c r="K257" s="2">
        <v>3000.0</v>
      </c>
      <c r="L257" s="1">
        <v>33201.0</v>
      </c>
      <c r="M257" s="1" t="str">
        <f>VLOOKUP(L257,'Catálogos'!$A$2:$B$492,2,0)</f>
        <v>Servicios de diseño, arquitectura, ingeniería y actividades relacionadas</v>
      </c>
      <c r="N257" s="1">
        <v>1.0</v>
      </c>
      <c r="O257" s="1">
        <v>4.0</v>
      </c>
      <c r="P257" s="1">
        <v>9.0</v>
      </c>
      <c r="Q257" s="1">
        <v>0.0</v>
      </c>
      <c r="R257" s="1">
        <v>0.0</v>
      </c>
      <c r="S257" s="1">
        <v>37120.0</v>
      </c>
      <c r="T257" s="1">
        <v>37120.0</v>
      </c>
      <c r="U257" s="1">
        <v>37120.0</v>
      </c>
      <c r="V257" s="1">
        <v>37120.0</v>
      </c>
    </row>
    <row r="258" ht="15.75" customHeight="1">
      <c r="A258" s="1">
        <v>12.0</v>
      </c>
      <c r="B258" s="1" t="s">
        <v>22</v>
      </c>
      <c r="C258" s="1">
        <v>2.0</v>
      </c>
      <c r="D258" s="1">
        <v>3.0</v>
      </c>
      <c r="E258" s="1">
        <v>4.0</v>
      </c>
      <c r="F258" s="1">
        <v>0.0</v>
      </c>
      <c r="G258" s="1">
        <v>2.0</v>
      </c>
      <c r="H258" s="1" t="str">
        <f t="shared" si="3"/>
        <v>M001</v>
      </c>
      <c r="I258" s="1" t="s">
        <v>51</v>
      </c>
      <c r="J258" s="1">
        <v>1.0</v>
      </c>
      <c r="K258" s="2">
        <v>3000.0</v>
      </c>
      <c r="L258" s="1">
        <v>33602.0</v>
      </c>
      <c r="M258" s="1" t="str">
        <f>VLOOKUP(L258,'Catálogos'!$A$2:$B$492,2,0)</f>
        <v>Otros servicios comerciales</v>
      </c>
      <c r="N258" s="1">
        <v>1.0</v>
      </c>
      <c r="O258" s="1">
        <v>4.0</v>
      </c>
      <c r="P258" s="1">
        <v>9.0</v>
      </c>
      <c r="Q258" s="1">
        <v>0.0</v>
      </c>
      <c r="R258" s="1">
        <v>808.0</v>
      </c>
      <c r="S258" s="1">
        <v>808.0</v>
      </c>
      <c r="T258" s="1">
        <v>366.0</v>
      </c>
      <c r="U258" s="1">
        <v>366.0</v>
      </c>
      <c r="V258" s="1">
        <v>366.0</v>
      </c>
    </row>
    <row r="259" ht="15.75" customHeight="1">
      <c r="A259" s="1">
        <v>12.0</v>
      </c>
      <c r="B259" s="1" t="s">
        <v>22</v>
      </c>
      <c r="C259" s="1">
        <v>2.0</v>
      </c>
      <c r="D259" s="1">
        <v>3.0</v>
      </c>
      <c r="E259" s="1">
        <v>4.0</v>
      </c>
      <c r="F259" s="1">
        <v>0.0</v>
      </c>
      <c r="G259" s="1">
        <v>2.0</v>
      </c>
      <c r="H259" s="1" t="str">
        <f t="shared" si="3"/>
        <v>M001</v>
      </c>
      <c r="I259" s="1" t="s">
        <v>51</v>
      </c>
      <c r="J259" s="1">
        <v>1.0</v>
      </c>
      <c r="K259" s="2">
        <v>3000.0</v>
      </c>
      <c r="L259" s="1">
        <v>33801.0</v>
      </c>
      <c r="M259" s="1" t="str">
        <f>VLOOKUP(L259,'Catálogos'!$A$2:$B$492,2,0)</f>
        <v>Servicios de vigilancia</v>
      </c>
      <c r="N259" s="1">
        <v>1.0</v>
      </c>
      <c r="O259" s="1">
        <v>1.0</v>
      </c>
      <c r="P259" s="1">
        <v>9.0</v>
      </c>
      <c r="Q259" s="1">
        <v>0.0</v>
      </c>
      <c r="R259" s="1">
        <v>1012408.0</v>
      </c>
      <c r="S259" s="1">
        <v>1216768.0</v>
      </c>
      <c r="T259" s="1">
        <v>1216768.0</v>
      </c>
      <c r="U259" s="1">
        <v>1216768.0</v>
      </c>
      <c r="V259" s="1">
        <v>1216768.0</v>
      </c>
    </row>
    <row r="260" ht="15.75" customHeight="1">
      <c r="A260" s="1">
        <v>12.0</v>
      </c>
      <c r="B260" s="1" t="s">
        <v>22</v>
      </c>
      <c r="C260" s="1">
        <v>2.0</v>
      </c>
      <c r="D260" s="1">
        <v>3.0</v>
      </c>
      <c r="E260" s="1">
        <v>4.0</v>
      </c>
      <c r="F260" s="1">
        <v>0.0</v>
      </c>
      <c r="G260" s="1">
        <v>2.0</v>
      </c>
      <c r="H260" s="1" t="str">
        <f t="shared" si="3"/>
        <v>M001</v>
      </c>
      <c r="I260" s="1" t="s">
        <v>51</v>
      </c>
      <c r="J260" s="1">
        <v>1.0</v>
      </c>
      <c r="K260" s="2">
        <v>3000.0</v>
      </c>
      <c r="L260" s="1">
        <v>33801.0</v>
      </c>
      <c r="M260" s="1" t="str">
        <f>VLOOKUP(L260,'Catálogos'!$A$2:$B$492,2,0)</f>
        <v>Servicios de vigilancia</v>
      </c>
      <c r="N260" s="1">
        <v>1.0</v>
      </c>
      <c r="O260" s="1">
        <v>4.0</v>
      </c>
      <c r="P260" s="1">
        <v>9.0</v>
      </c>
      <c r="Q260" s="1">
        <v>0.0</v>
      </c>
      <c r="R260" s="1">
        <v>46500.0</v>
      </c>
      <c r="S260" s="1">
        <v>0.0</v>
      </c>
      <c r="T260" s="1">
        <v>0.0</v>
      </c>
      <c r="U260" s="1">
        <v>0.0</v>
      </c>
      <c r="V260" s="1">
        <v>0.0</v>
      </c>
    </row>
    <row r="261" ht="15.75" customHeight="1">
      <c r="A261" s="1">
        <v>12.0</v>
      </c>
      <c r="B261" s="1" t="s">
        <v>22</v>
      </c>
      <c r="C261" s="1">
        <v>2.0</v>
      </c>
      <c r="D261" s="1">
        <v>3.0</v>
      </c>
      <c r="E261" s="1">
        <v>4.0</v>
      </c>
      <c r="F261" s="1">
        <v>0.0</v>
      </c>
      <c r="G261" s="1">
        <v>2.0</v>
      </c>
      <c r="H261" s="1" t="str">
        <f t="shared" si="3"/>
        <v>M001</v>
      </c>
      <c r="I261" s="1" t="s">
        <v>51</v>
      </c>
      <c r="J261" s="1">
        <v>1.0</v>
      </c>
      <c r="K261" s="2">
        <v>3000.0</v>
      </c>
      <c r="L261" s="1">
        <v>33901.0</v>
      </c>
      <c r="M261" s="1" t="str">
        <f>VLOOKUP(L261,'Catálogos'!$A$2:$B$492,2,0)</f>
        <v>Subcontratación de servicios con terceros</v>
      </c>
      <c r="N261" s="1">
        <v>1.0</v>
      </c>
      <c r="O261" s="1">
        <v>1.0</v>
      </c>
      <c r="P261" s="1">
        <v>9.0</v>
      </c>
      <c r="Q261" s="1">
        <v>0.0</v>
      </c>
      <c r="R261" s="1">
        <v>475762.0</v>
      </c>
      <c r="S261" s="1">
        <v>468571.0</v>
      </c>
      <c r="T261" s="1">
        <v>468571.0</v>
      </c>
      <c r="U261" s="1">
        <v>468571.0</v>
      </c>
      <c r="V261" s="1">
        <v>468571.0</v>
      </c>
    </row>
    <row r="262" ht="15.75" customHeight="1">
      <c r="A262" s="1">
        <v>12.0</v>
      </c>
      <c r="B262" s="1" t="s">
        <v>22</v>
      </c>
      <c r="C262" s="1">
        <v>2.0</v>
      </c>
      <c r="D262" s="1">
        <v>3.0</v>
      </c>
      <c r="E262" s="1">
        <v>4.0</v>
      </c>
      <c r="F262" s="1">
        <v>0.0</v>
      </c>
      <c r="G262" s="1">
        <v>2.0</v>
      </c>
      <c r="H262" s="1" t="str">
        <f t="shared" si="3"/>
        <v>M001</v>
      </c>
      <c r="I262" s="1" t="s">
        <v>51</v>
      </c>
      <c r="J262" s="1">
        <v>1.0</v>
      </c>
      <c r="K262" s="2">
        <v>3000.0</v>
      </c>
      <c r="L262" s="1">
        <v>33901.0</v>
      </c>
      <c r="M262" s="1" t="str">
        <f>VLOOKUP(L262,'Catálogos'!$A$2:$B$492,2,0)</f>
        <v>Subcontratación de servicios con terceros</v>
      </c>
      <c r="N262" s="1">
        <v>1.0</v>
      </c>
      <c r="O262" s="1">
        <v>4.0</v>
      </c>
      <c r="P262" s="1">
        <v>9.0</v>
      </c>
      <c r="Q262" s="1">
        <v>0.0</v>
      </c>
      <c r="R262" s="1">
        <v>90000.0</v>
      </c>
      <c r="S262" s="1">
        <v>76658.0</v>
      </c>
      <c r="T262" s="1">
        <v>62305.0</v>
      </c>
      <c r="U262" s="1">
        <v>62305.0</v>
      </c>
      <c r="V262" s="1">
        <v>62305.0</v>
      </c>
    </row>
    <row r="263" ht="15.75" customHeight="1">
      <c r="A263" s="1">
        <v>12.0</v>
      </c>
      <c r="B263" s="1" t="s">
        <v>22</v>
      </c>
      <c r="C263" s="1">
        <v>2.0</v>
      </c>
      <c r="D263" s="1">
        <v>3.0</v>
      </c>
      <c r="E263" s="1">
        <v>4.0</v>
      </c>
      <c r="F263" s="1">
        <v>0.0</v>
      </c>
      <c r="G263" s="1">
        <v>2.0</v>
      </c>
      <c r="H263" s="1" t="str">
        <f t="shared" si="3"/>
        <v>M001</v>
      </c>
      <c r="I263" s="1" t="s">
        <v>51</v>
      </c>
      <c r="J263" s="1">
        <v>1.0</v>
      </c>
      <c r="K263" s="2">
        <v>3000.0</v>
      </c>
      <c r="L263" s="1">
        <v>34501.0</v>
      </c>
      <c r="M263" s="1" t="str">
        <f>VLOOKUP(L263,'Catálogos'!$A$2:$B$492,2,0)</f>
        <v>Seguros de bienes patrimoniales</v>
      </c>
      <c r="N263" s="1">
        <v>1.0</v>
      </c>
      <c r="O263" s="1">
        <v>1.0</v>
      </c>
      <c r="P263" s="1">
        <v>9.0</v>
      </c>
      <c r="Q263" s="1">
        <v>0.0</v>
      </c>
      <c r="R263" s="1">
        <v>307319.0</v>
      </c>
      <c r="S263" s="1">
        <v>112956.0</v>
      </c>
      <c r="T263" s="1">
        <v>112956.0</v>
      </c>
      <c r="U263" s="1">
        <v>112956.0</v>
      </c>
      <c r="V263" s="1">
        <v>112956.0</v>
      </c>
    </row>
    <row r="264" ht="15.75" customHeight="1">
      <c r="A264" s="1">
        <v>12.0</v>
      </c>
      <c r="B264" s="1" t="s">
        <v>22</v>
      </c>
      <c r="C264" s="1">
        <v>2.0</v>
      </c>
      <c r="D264" s="1">
        <v>3.0</v>
      </c>
      <c r="E264" s="1">
        <v>4.0</v>
      </c>
      <c r="F264" s="1">
        <v>0.0</v>
      </c>
      <c r="G264" s="1">
        <v>2.0</v>
      </c>
      <c r="H264" s="1" t="str">
        <f t="shared" si="3"/>
        <v>M001</v>
      </c>
      <c r="I264" s="1" t="s">
        <v>51</v>
      </c>
      <c r="J264" s="1">
        <v>1.0</v>
      </c>
      <c r="K264" s="2">
        <v>3000.0</v>
      </c>
      <c r="L264" s="1">
        <v>35101.0</v>
      </c>
      <c r="M264" s="1" t="str">
        <f>VLOOKUP(L264,'Catálogos'!$A$2:$B$492,2,0)</f>
        <v>Mantenimiento y conservación de inmuebles para la prestación de servicios administrativos</v>
      </c>
      <c r="N264" s="1">
        <v>1.0</v>
      </c>
      <c r="O264" s="1">
        <v>1.0</v>
      </c>
      <c r="P264" s="1">
        <v>9.0</v>
      </c>
      <c r="Q264" s="1">
        <v>0.0</v>
      </c>
      <c r="R264" s="1">
        <v>408721.0</v>
      </c>
      <c r="S264" s="1">
        <v>0.0</v>
      </c>
      <c r="T264" s="1">
        <v>0.0</v>
      </c>
      <c r="U264" s="1">
        <v>0.0</v>
      </c>
      <c r="V264" s="1">
        <v>0.0</v>
      </c>
    </row>
    <row r="265" ht="15.75" customHeight="1">
      <c r="A265" s="1">
        <v>12.0</v>
      </c>
      <c r="B265" s="1" t="s">
        <v>22</v>
      </c>
      <c r="C265" s="1">
        <v>2.0</v>
      </c>
      <c r="D265" s="1">
        <v>3.0</v>
      </c>
      <c r="E265" s="1">
        <v>4.0</v>
      </c>
      <c r="F265" s="1">
        <v>0.0</v>
      </c>
      <c r="G265" s="1">
        <v>2.0</v>
      </c>
      <c r="H265" s="1" t="str">
        <f t="shared" si="3"/>
        <v>M001</v>
      </c>
      <c r="I265" s="1" t="s">
        <v>51</v>
      </c>
      <c r="J265" s="1">
        <v>1.0</v>
      </c>
      <c r="K265" s="2">
        <v>3000.0</v>
      </c>
      <c r="L265" s="1">
        <v>35201.0</v>
      </c>
      <c r="M265" s="1" t="str">
        <f>VLOOKUP(L265,'Catálogos'!$A$2:$B$492,2,0)</f>
        <v>Mantenimiento y conservación de mobiliario y equipo de administración</v>
      </c>
      <c r="N265" s="1">
        <v>1.0</v>
      </c>
      <c r="O265" s="1">
        <v>1.0</v>
      </c>
      <c r="P265" s="1">
        <v>9.0</v>
      </c>
      <c r="Q265" s="1">
        <v>0.0</v>
      </c>
      <c r="R265" s="1">
        <v>0.0</v>
      </c>
      <c r="S265" s="1">
        <v>147292.0</v>
      </c>
      <c r="T265" s="1">
        <v>147292.0</v>
      </c>
      <c r="U265" s="1">
        <v>147292.0</v>
      </c>
      <c r="V265" s="1">
        <v>147292.0</v>
      </c>
    </row>
    <row r="266" ht="15.75" customHeight="1">
      <c r="A266" s="1">
        <v>12.0</v>
      </c>
      <c r="B266" s="1" t="s">
        <v>22</v>
      </c>
      <c r="C266" s="1">
        <v>2.0</v>
      </c>
      <c r="D266" s="1">
        <v>3.0</v>
      </c>
      <c r="E266" s="1">
        <v>4.0</v>
      </c>
      <c r="F266" s="1">
        <v>0.0</v>
      </c>
      <c r="G266" s="1">
        <v>2.0</v>
      </c>
      <c r="H266" s="1" t="str">
        <f t="shared" si="3"/>
        <v>M001</v>
      </c>
      <c r="I266" s="1" t="s">
        <v>51</v>
      </c>
      <c r="J266" s="1">
        <v>1.0</v>
      </c>
      <c r="K266" s="2">
        <v>3000.0</v>
      </c>
      <c r="L266" s="1">
        <v>35701.0</v>
      </c>
      <c r="M266" s="1" t="str">
        <f>VLOOKUP(L266,'Catálogos'!$A$2:$B$492,2,0)</f>
        <v>Mantenimiento y conservación de maquinaria y equipo</v>
      </c>
      <c r="N266" s="1">
        <v>1.0</v>
      </c>
      <c r="O266" s="1">
        <v>1.0</v>
      </c>
      <c r="P266" s="1">
        <v>9.0</v>
      </c>
      <c r="Q266" s="1">
        <v>0.0</v>
      </c>
      <c r="R266" s="1">
        <v>0.0</v>
      </c>
      <c r="S266" s="1">
        <v>13215.0</v>
      </c>
      <c r="T266" s="1">
        <v>13215.0</v>
      </c>
      <c r="U266" s="1">
        <v>13215.0</v>
      </c>
      <c r="V266" s="1">
        <v>13215.0</v>
      </c>
    </row>
    <row r="267" ht="15.75" customHeight="1">
      <c r="A267" s="1">
        <v>12.0</v>
      </c>
      <c r="B267" s="1" t="s">
        <v>22</v>
      </c>
      <c r="C267" s="1">
        <v>2.0</v>
      </c>
      <c r="D267" s="1">
        <v>3.0</v>
      </c>
      <c r="E267" s="1">
        <v>4.0</v>
      </c>
      <c r="F267" s="1">
        <v>0.0</v>
      </c>
      <c r="G267" s="1">
        <v>2.0</v>
      </c>
      <c r="H267" s="1" t="str">
        <f t="shared" si="3"/>
        <v>M001</v>
      </c>
      <c r="I267" s="1" t="s">
        <v>51</v>
      </c>
      <c r="J267" s="1">
        <v>1.0</v>
      </c>
      <c r="K267" s="2">
        <v>3000.0</v>
      </c>
      <c r="L267" s="1">
        <v>35801.0</v>
      </c>
      <c r="M267" s="1" t="str">
        <f>VLOOKUP(L267,'Catálogos'!$A$2:$B$492,2,0)</f>
        <v>Servicios de lavandería, limpieza e higiene</v>
      </c>
      <c r="N267" s="1">
        <v>1.0</v>
      </c>
      <c r="O267" s="1">
        <v>1.0</v>
      </c>
      <c r="P267" s="1">
        <v>9.0</v>
      </c>
      <c r="Q267" s="1">
        <v>0.0</v>
      </c>
      <c r="R267" s="1">
        <v>2920807.0</v>
      </c>
      <c r="S267" s="1">
        <v>1201749.0</v>
      </c>
      <c r="T267" s="1">
        <v>1201749.0</v>
      </c>
      <c r="U267" s="1">
        <v>1201749.0</v>
      </c>
      <c r="V267" s="1">
        <v>1201749.0</v>
      </c>
    </row>
    <row r="268" ht="15.75" customHeight="1">
      <c r="A268" s="1">
        <v>12.0</v>
      </c>
      <c r="B268" s="1" t="s">
        <v>22</v>
      </c>
      <c r="C268" s="1">
        <v>2.0</v>
      </c>
      <c r="D268" s="1">
        <v>3.0</v>
      </c>
      <c r="E268" s="1">
        <v>4.0</v>
      </c>
      <c r="F268" s="1">
        <v>0.0</v>
      </c>
      <c r="G268" s="1">
        <v>2.0</v>
      </c>
      <c r="H268" s="1" t="str">
        <f t="shared" si="3"/>
        <v>M001</v>
      </c>
      <c r="I268" s="1" t="s">
        <v>51</v>
      </c>
      <c r="J268" s="1">
        <v>1.0</v>
      </c>
      <c r="K268" s="2">
        <v>3000.0</v>
      </c>
      <c r="L268" s="1">
        <v>35801.0</v>
      </c>
      <c r="M268" s="1" t="str">
        <f>VLOOKUP(L268,'Catálogos'!$A$2:$B$492,2,0)</f>
        <v>Servicios de lavandería, limpieza e higiene</v>
      </c>
      <c r="N268" s="1">
        <v>1.0</v>
      </c>
      <c r="O268" s="1">
        <v>4.0</v>
      </c>
      <c r="P268" s="1">
        <v>9.0</v>
      </c>
      <c r="Q268" s="1">
        <v>0.0</v>
      </c>
      <c r="R268" s="1">
        <v>20000.0</v>
      </c>
      <c r="S268" s="1">
        <v>0.0</v>
      </c>
      <c r="T268" s="1">
        <v>0.0</v>
      </c>
      <c r="U268" s="1">
        <v>0.0</v>
      </c>
      <c r="V268" s="1">
        <v>0.0</v>
      </c>
    </row>
    <row r="269" ht="15.75" customHeight="1">
      <c r="A269" s="1">
        <v>12.0</v>
      </c>
      <c r="B269" s="1" t="s">
        <v>22</v>
      </c>
      <c r="C269" s="1">
        <v>2.0</v>
      </c>
      <c r="D269" s="1">
        <v>3.0</v>
      </c>
      <c r="E269" s="1">
        <v>4.0</v>
      </c>
      <c r="F269" s="1">
        <v>0.0</v>
      </c>
      <c r="G269" s="1">
        <v>2.0</v>
      </c>
      <c r="H269" s="1" t="str">
        <f t="shared" si="3"/>
        <v>M001</v>
      </c>
      <c r="I269" s="1" t="s">
        <v>51</v>
      </c>
      <c r="J269" s="1">
        <v>1.0</v>
      </c>
      <c r="K269" s="2">
        <v>3000.0</v>
      </c>
      <c r="L269" s="1">
        <v>35901.0</v>
      </c>
      <c r="M269" s="1" t="str">
        <f>VLOOKUP(L269,'Catálogos'!$A$2:$B$492,2,0)</f>
        <v>Servicios de jardinería y fumigación</v>
      </c>
      <c r="N269" s="1">
        <v>1.0</v>
      </c>
      <c r="O269" s="1">
        <v>1.0</v>
      </c>
      <c r="P269" s="1">
        <v>9.0</v>
      </c>
      <c r="Q269" s="1">
        <v>0.0</v>
      </c>
      <c r="R269" s="1">
        <v>13896.0</v>
      </c>
      <c r="S269" s="1">
        <v>22985.0</v>
      </c>
      <c r="T269" s="1">
        <v>22985.0</v>
      </c>
      <c r="U269" s="1">
        <v>22985.0</v>
      </c>
      <c r="V269" s="1">
        <v>22985.0</v>
      </c>
    </row>
    <row r="270" ht="15.75" customHeight="1">
      <c r="A270" s="1">
        <v>12.0</v>
      </c>
      <c r="B270" s="1" t="s">
        <v>22</v>
      </c>
      <c r="C270" s="1">
        <v>2.0</v>
      </c>
      <c r="D270" s="1">
        <v>3.0</v>
      </c>
      <c r="E270" s="1">
        <v>4.0</v>
      </c>
      <c r="F270" s="1">
        <v>0.0</v>
      </c>
      <c r="G270" s="1">
        <v>2.0</v>
      </c>
      <c r="H270" s="1" t="str">
        <f t="shared" si="3"/>
        <v>M001</v>
      </c>
      <c r="I270" s="1" t="s">
        <v>51</v>
      </c>
      <c r="J270" s="1">
        <v>1.0</v>
      </c>
      <c r="K270" s="2">
        <v>3000.0</v>
      </c>
      <c r="L270" s="1">
        <v>35901.0</v>
      </c>
      <c r="M270" s="1" t="str">
        <f>VLOOKUP(L270,'Catálogos'!$A$2:$B$492,2,0)</f>
        <v>Servicios de jardinería y fumigación</v>
      </c>
      <c r="N270" s="1">
        <v>1.0</v>
      </c>
      <c r="O270" s="1">
        <v>4.0</v>
      </c>
      <c r="P270" s="1">
        <v>9.0</v>
      </c>
      <c r="Q270" s="1">
        <v>0.0</v>
      </c>
      <c r="R270" s="1">
        <v>4800.0</v>
      </c>
      <c r="S270" s="1">
        <v>0.0</v>
      </c>
      <c r="T270" s="1">
        <v>0.0</v>
      </c>
      <c r="U270" s="1">
        <v>0.0</v>
      </c>
      <c r="V270" s="1">
        <v>0.0</v>
      </c>
    </row>
    <row r="271" ht="15.75" customHeight="1">
      <c r="A271" s="1">
        <v>12.0</v>
      </c>
      <c r="B271" s="1" t="s">
        <v>22</v>
      </c>
      <c r="C271" s="1">
        <v>2.0</v>
      </c>
      <c r="D271" s="1">
        <v>3.0</v>
      </c>
      <c r="E271" s="1">
        <v>4.0</v>
      </c>
      <c r="F271" s="1">
        <v>0.0</v>
      </c>
      <c r="G271" s="1">
        <v>2.0</v>
      </c>
      <c r="H271" s="1" t="str">
        <f t="shared" si="3"/>
        <v>M001</v>
      </c>
      <c r="I271" s="1" t="s">
        <v>51</v>
      </c>
      <c r="J271" s="1">
        <v>1.0</v>
      </c>
      <c r="K271" s="2">
        <v>3000.0</v>
      </c>
      <c r="L271" s="1">
        <v>37204.0</v>
      </c>
      <c r="M271" s="1" t="str">
        <f>VLOOKUP(L271,'Catálogos'!$A$2:$B$492,2,0)</f>
        <v>Pasajes terrestres nacionales para servidores públicos de mando en el desempeño de comisiones y funciones oficiales</v>
      </c>
      <c r="N271" s="1">
        <v>1.0</v>
      </c>
      <c r="O271" s="1">
        <v>4.0</v>
      </c>
      <c r="P271" s="1">
        <v>9.0</v>
      </c>
      <c r="Q271" s="1">
        <v>0.0</v>
      </c>
      <c r="R271" s="1">
        <v>29504.0</v>
      </c>
      <c r="S271" s="1">
        <v>29504.0</v>
      </c>
      <c r="T271" s="1">
        <v>21372.0</v>
      </c>
      <c r="U271" s="1">
        <v>21372.0</v>
      </c>
      <c r="V271" s="1">
        <v>21372.0</v>
      </c>
    </row>
    <row r="272" ht="15.75" customHeight="1">
      <c r="A272" s="1">
        <v>12.0</v>
      </c>
      <c r="B272" s="1" t="s">
        <v>22</v>
      </c>
      <c r="C272" s="1">
        <v>2.0</v>
      </c>
      <c r="D272" s="1">
        <v>3.0</v>
      </c>
      <c r="E272" s="1">
        <v>4.0</v>
      </c>
      <c r="F272" s="1">
        <v>0.0</v>
      </c>
      <c r="G272" s="1">
        <v>2.0</v>
      </c>
      <c r="H272" s="1" t="str">
        <f t="shared" si="3"/>
        <v>M001</v>
      </c>
      <c r="I272" s="1" t="s">
        <v>51</v>
      </c>
      <c r="J272" s="1">
        <v>1.0</v>
      </c>
      <c r="K272" s="2">
        <v>3000.0</v>
      </c>
      <c r="L272" s="1">
        <v>38201.0</v>
      </c>
      <c r="M272" s="1" t="str">
        <f>VLOOKUP(L272,'Catálogos'!$A$2:$B$492,2,0)</f>
        <v>Gastos de orden social</v>
      </c>
      <c r="N272" s="1">
        <v>1.0</v>
      </c>
      <c r="O272" s="1">
        <v>4.0</v>
      </c>
      <c r="P272" s="1">
        <v>9.0</v>
      </c>
      <c r="Q272" s="1">
        <v>0.0</v>
      </c>
      <c r="R272" s="1">
        <v>0.0</v>
      </c>
      <c r="S272" s="1">
        <v>5444.0</v>
      </c>
      <c r="T272" s="1">
        <v>4745.0</v>
      </c>
      <c r="U272" s="1">
        <v>4745.0</v>
      </c>
      <c r="V272" s="1">
        <v>4745.0</v>
      </c>
    </row>
    <row r="273" ht="15.75" customHeight="1">
      <c r="A273" s="1">
        <v>12.0</v>
      </c>
      <c r="B273" s="1" t="s">
        <v>22</v>
      </c>
      <c r="C273" s="1">
        <v>2.0</v>
      </c>
      <c r="D273" s="1">
        <v>3.0</v>
      </c>
      <c r="E273" s="1">
        <v>4.0</v>
      </c>
      <c r="F273" s="1">
        <v>0.0</v>
      </c>
      <c r="G273" s="1">
        <v>2.0</v>
      </c>
      <c r="H273" s="1" t="str">
        <f t="shared" si="3"/>
        <v>M001</v>
      </c>
      <c r="I273" s="1" t="s">
        <v>51</v>
      </c>
      <c r="J273" s="1">
        <v>1.0</v>
      </c>
      <c r="K273" s="2">
        <v>3000.0</v>
      </c>
      <c r="L273" s="1">
        <v>39202.0</v>
      </c>
      <c r="M273" s="1" t="str">
        <f>VLOOKUP(L273,'Catálogos'!$A$2:$B$492,2,0)</f>
        <v>Otros impuestos y derechos</v>
      </c>
      <c r="N273" s="1">
        <v>1.0</v>
      </c>
      <c r="O273" s="1">
        <v>4.0</v>
      </c>
      <c r="P273" s="1">
        <v>9.0</v>
      </c>
      <c r="Q273" s="1">
        <v>0.0</v>
      </c>
      <c r="R273" s="1">
        <v>15000.0</v>
      </c>
      <c r="S273" s="1">
        <v>93980.0</v>
      </c>
      <c r="T273" s="1">
        <v>88008.0</v>
      </c>
      <c r="U273" s="1">
        <v>88008.0</v>
      </c>
      <c r="V273" s="1">
        <v>88008.0</v>
      </c>
    </row>
    <row r="274" ht="15.75" customHeight="1">
      <c r="A274" s="1">
        <v>12.0</v>
      </c>
      <c r="B274" s="1" t="s">
        <v>22</v>
      </c>
      <c r="C274" s="1">
        <v>2.0</v>
      </c>
      <c r="D274" s="1">
        <v>3.0</v>
      </c>
      <c r="E274" s="1">
        <v>4.0</v>
      </c>
      <c r="F274" s="1">
        <v>0.0</v>
      </c>
      <c r="G274" s="1">
        <v>2.0</v>
      </c>
      <c r="H274" s="1" t="str">
        <f t="shared" si="3"/>
        <v>M001</v>
      </c>
      <c r="I274" s="1" t="s">
        <v>51</v>
      </c>
      <c r="J274" s="1">
        <v>1.0</v>
      </c>
      <c r="K274" s="2">
        <v>3000.0</v>
      </c>
      <c r="L274" s="1">
        <v>39801.0</v>
      </c>
      <c r="M274" s="1" t="str">
        <f>VLOOKUP(L274,'Catálogos'!$A$2:$B$492,2,0)</f>
        <v>Impuesto sobre nóminas</v>
      </c>
      <c r="N274" s="1">
        <v>1.0</v>
      </c>
      <c r="O274" s="1">
        <v>1.0</v>
      </c>
      <c r="P274" s="1">
        <v>9.0</v>
      </c>
      <c r="Q274" s="1">
        <v>0.0</v>
      </c>
      <c r="R274" s="1">
        <v>1365474.0</v>
      </c>
      <c r="S274" s="1">
        <v>1.0404058E7</v>
      </c>
      <c r="T274" s="1">
        <v>1.0404058E7</v>
      </c>
      <c r="U274" s="1">
        <v>1.0404058E7</v>
      </c>
      <c r="V274" s="1">
        <v>1.0404058E7</v>
      </c>
    </row>
    <row r="275" ht="15.75" customHeight="1">
      <c r="A275" s="1">
        <v>12.0</v>
      </c>
      <c r="B275" s="1" t="s">
        <v>22</v>
      </c>
      <c r="C275" s="1">
        <v>2.0</v>
      </c>
      <c r="D275" s="1">
        <v>3.0</v>
      </c>
      <c r="E275" s="1">
        <v>4.0</v>
      </c>
      <c r="F275" s="1">
        <v>0.0</v>
      </c>
      <c r="G275" s="1">
        <v>14.0</v>
      </c>
      <c r="H275" s="1" t="str">
        <f t="shared" ref="H275:H390" si="4">I275&amp;"0"&amp;J275</f>
        <v>P016</v>
      </c>
      <c r="I275" s="1" t="s">
        <v>536</v>
      </c>
      <c r="J275" s="1">
        <v>16.0</v>
      </c>
      <c r="K275" s="2">
        <v>2000.0</v>
      </c>
      <c r="L275" s="1">
        <v>25101.0</v>
      </c>
      <c r="M275" s="1" t="str">
        <f>VLOOKUP(L275,'Catálogos'!$A$2:$B$492,2,0)</f>
        <v>Productos químicos básicos</v>
      </c>
      <c r="N275" s="1">
        <v>1.0</v>
      </c>
      <c r="O275" s="1">
        <v>1.0</v>
      </c>
      <c r="P275" s="1">
        <v>9.0</v>
      </c>
      <c r="Q275" s="1">
        <v>0.0</v>
      </c>
      <c r="R275" s="1">
        <v>2138729.0</v>
      </c>
      <c r="S275" s="1">
        <v>29811.0</v>
      </c>
      <c r="T275" s="1">
        <v>29811.0</v>
      </c>
      <c r="U275" s="1">
        <v>29811.0</v>
      </c>
      <c r="V275" s="1">
        <v>29811.0</v>
      </c>
    </row>
    <row r="276" ht="15.75" customHeight="1">
      <c r="A276" s="1">
        <v>12.0</v>
      </c>
      <c r="B276" s="1" t="s">
        <v>22</v>
      </c>
      <c r="C276" s="1">
        <v>2.0</v>
      </c>
      <c r="D276" s="1">
        <v>3.0</v>
      </c>
      <c r="E276" s="1">
        <v>4.0</v>
      </c>
      <c r="F276" s="1">
        <v>0.0</v>
      </c>
      <c r="G276" s="1">
        <v>14.0</v>
      </c>
      <c r="H276" s="1" t="str">
        <f t="shared" si="4"/>
        <v>P016</v>
      </c>
      <c r="I276" s="1" t="s">
        <v>536</v>
      </c>
      <c r="J276" s="1">
        <v>16.0</v>
      </c>
      <c r="K276" s="2">
        <v>2000.0</v>
      </c>
      <c r="L276" s="1">
        <v>25301.0</v>
      </c>
      <c r="M276" s="1" t="str">
        <f>VLOOKUP(L276,'Catálogos'!$A$2:$B$492,2,0)</f>
        <v>Medicinas y productos farmacéuticos</v>
      </c>
      <c r="N276" s="1">
        <v>1.0</v>
      </c>
      <c r="O276" s="1">
        <v>1.0</v>
      </c>
      <c r="P276" s="1">
        <v>9.0</v>
      </c>
      <c r="Q276" s="1">
        <v>0.0</v>
      </c>
      <c r="R276" s="1">
        <v>301948.0</v>
      </c>
      <c r="S276" s="1">
        <v>1515412.0</v>
      </c>
      <c r="T276" s="1">
        <v>1515412.0</v>
      </c>
      <c r="U276" s="1">
        <v>1515412.0</v>
      </c>
      <c r="V276" s="1">
        <v>1515412.0</v>
      </c>
    </row>
    <row r="277" ht="15.75" customHeight="1">
      <c r="A277" s="1">
        <v>12.0</v>
      </c>
      <c r="B277" s="1" t="s">
        <v>22</v>
      </c>
      <c r="C277" s="1">
        <v>2.0</v>
      </c>
      <c r="D277" s="1">
        <v>3.0</v>
      </c>
      <c r="E277" s="1">
        <v>4.0</v>
      </c>
      <c r="F277" s="1">
        <v>0.0</v>
      </c>
      <c r="G277" s="1">
        <v>14.0</v>
      </c>
      <c r="H277" s="1" t="str">
        <f t="shared" si="4"/>
        <v>P016</v>
      </c>
      <c r="I277" s="1" t="s">
        <v>536</v>
      </c>
      <c r="J277" s="1">
        <v>16.0</v>
      </c>
      <c r="K277" s="2">
        <v>2000.0</v>
      </c>
      <c r="L277" s="1">
        <v>25401.0</v>
      </c>
      <c r="M277" s="1" t="str">
        <f>VLOOKUP(L277,'Catálogos'!$A$2:$B$492,2,0)</f>
        <v>Materiales, accesorios y suministros médicos</v>
      </c>
      <c r="N277" s="1">
        <v>1.0</v>
      </c>
      <c r="O277" s="1">
        <v>1.0</v>
      </c>
      <c r="P277" s="1">
        <v>9.0</v>
      </c>
      <c r="Q277" s="1">
        <v>0.0</v>
      </c>
      <c r="R277" s="1">
        <v>158493.0</v>
      </c>
      <c r="S277" s="1">
        <v>814245.0</v>
      </c>
      <c r="T277" s="1">
        <v>814245.0</v>
      </c>
      <c r="U277" s="1">
        <v>814245.0</v>
      </c>
      <c r="V277" s="1">
        <v>814245.0</v>
      </c>
    </row>
    <row r="278" ht="15.75" customHeight="1">
      <c r="A278" s="1">
        <v>12.0</v>
      </c>
      <c r="B278" s="1" t="s">
        <v>22</v>
      </c>
      <c r="C278" s="1">
        <v>2.0</v>
      </c>
      <c r="D278" s="1">
        <v>3.0</v>
      </c>
      <c r="E278" s="1">
        <v>4.0</v>
      </c>
      <c r="F278" s="1">
        <v>0.0</v>
      </c>
      <c r="G278" s="1">
        <v>14.0</v>
      </c>
      <c r="H278" s="1" t="str">
        <f t="shared" si="4"/>
        <v>P016</v>
      </c>
      <c r="I278" s="1" t="s">
        <v>536</v>
      </c>
      <c r="J278" s="1">
        <v>16.0</v>
      </c>
      <c r="K278" s="2">
        <v>2000.0</v>
      </c>
      <c r="L278" s="1">
        <v>25501.0</v>
      </c>
      <c r="M278" s="1" t="str">
        <f>VLOOKUP(L278,'Catálogos'!$A$2:$B$492,2,0)</f>
        <v>Materiales, accesorios y suministros de laboratorio</v>
      </c>
      <c r="N278" s="1">
        <v>1.0</v>
      </c>
      <c r="O278" s="1">
        <v>1.0</v>
      </c>
      <c r="P278" s="1">
        <v>9.0</v>
      </c>
      <c r="Q278" s="1">
        <v>0.0</v>
      </c>
      <c r="R278" s="1">
        <v>1511552.0</v>
      </c>
      <c r="S278" s="1">
        <v>0.0</v>
      </c>
      <c r="T278" s="1">
        <v>0.0</v>
      </c>
      <c r="U278" s="1">
        <v>0.0</v>
      </c>
      <c r="V278" s="1">
        <v>0.0</v>
      </c>
    </row>
    <row r="279" ht="15.75" customHeight="1">
      <c r="A279" s="1">
        <v>12.0</v>
      </c>
      <c r="B279" s="1" t="s">
        <v>22</v>
      </c>
      <c r="C279" s="1">
        <v>2.0</v>
      </c>
      <c r="D279" s="1">
        <v>3.0</v>
      </c>
      <c r="E279" s="1">
        <v>4.0</v>
      </c>
      <c r="F279" s="1">
        <v>0.0</v>
      </c>
      <c r="G279" s="1">
        <v>14.0</v>
      </c>
      <c r="H279" s="1" t="str">
        <f t="shared" si="4"/>
        <v>P016</v>
      </c>
      <c r="I279" s="1" t="s">
        <v>536</v>
      </c>
      <c r="J279" s="1">
        <v>16.0</v>
      </c>
      <c r="K279" s="2">
        <v>3000.0</v>
      </c>
      <c r="L279" s="1">
        <v>33901.0</v>
      </c>
      <c r="M279" s="1" t="str">
        <f>VLOOKUP(L279,'Catálogos'!$A$2:$B$492,2,0)</f>
        <v>Subcontratación de servicios con terceros</v>
      </c>
      <c r="N279" s="1">
        <v>1.0</v>
      </c>
      <c r="O279" s="1">
        <v>1.0</v>
      </c>
      <c r="P279" s="1">
        <v>9.0</v>
      </c>
      <c r="Q279" s="1">
        <v>0.0</v>
      </c>
      <c r="R279" s="1">
        <v>220992.0</v>
      </c>
      <c r="S279" s="1">
        <v>0.0</v>
      </c>
      <c r="T279" s="1">
        <v>0.0</v>
      </c>
      <c r="U279" s="1">
        <v>0.0</v>
      </c>
      <c r="V279" s="1">
        <v>0.0</v>
      </c>
    </row>
    <row r="280" ht="15.75" customHeight="1">
      <c r="A280" s="1">
        <v>12.0</v>
      </c>
      <c r="B280" s="1" t="s">
        <v>22</v>
      </c>
      <c r="C280" s="1">
        <v>2.0</v>
      </c>
      <c r="D280" s="1">
        <v>3.0</v>
      </c>
      <c r="E280" s="1">
        <v>4.0</v>
      </c>
      <c r="F280" s="1">
        <v>0.0</v>
      </c>
      <c r="G280" s="1">
        <v>14.0</v>
      </c>
      <c r="H280" s="1" t="str">
        <f t="shared" si="4"/>
        <v>P016</v>
      </c>
      <c r="I280" s="1" t="s">
        <v>536</v>
      </c>
      <c r="J280" s="1">
        <v>16.0</v>
      </c>
      <c r="K280" s="2">
        <v>3000.0</v>
      </c>
      <c r="L280" s="1">
        <v>35401.0</v>
      </c>
      <c r="M280" s="1" t="str">
        <f>VLOOKUP(L280,'Catálogos'!$A$2:$B$492,2,0)</f>
        <v>Instalación, reparación y mantenimiento de equipo e instrumental médico y de laboratorio</v>
      </c>
      <c r="N280" s="1">
        <v>1.0</v>
      </c>
      <c r="O280" s="1">
        <v>1.0</v>
      </c>
      <c r="P280" s="1">
        <v>9.0</v>
      </c>
      <c r="Q280" s="1">
        <v>0.0</v>
      </c>
      <c r="R280" s="1">
        <v>0.0</v>
      </c>
      <c r="S280" s="1">
        <v>1167686.0</v>
      </c>
      <c r="T280" s="1">
        <v>1167686.0</v>
      </c>
      <c r="U280" s="1">
        <v>1167686.0</v>
      </c>
      <c r="V280" s="1">
        <v>1167686.0</v>
      </c>
    </row>
    <row r="281" ht="15.75" customHeight="1">
      <c r="A281" s="1">
        <v>12.0</v>
      </c>
      <c r="B281" s="1" t="s">
        <v>22</v>
      </c>
      <c r="C281" s="1">
        <v>2.0</v>
      </c>
      <c r="D281" s="1">
        <v>3.0</v>
      </c>
      <c r="E281" s="1">
        <v>4.0</v>
      </c>
      <c r="F281" s="1">
        <v>0.0</v>
      </c>
      <c r="G281" s="1">
        <v>14.0</v>
      </c>
      <c r="H281" s="1" t="str">
        <f t="shared" si="4"/>
        <v>P016</v>
      </c>
      <c r="I281" s="1" t="s">
        <v>536</v>
      </c>
      <c r="J281" s="1">
        <v>16.0</v>
      </c>
      <c r="K281" s="2">
        <v>3000.0</v>
      </c>
      <c r="L281" s="1">
        <v>35801.0</v>
      </c>
      <c r="M281" s="1" t="str">
        <f>VLOOKUP(L281,'Catálogos'!$A$2:$B$492,2,0)</f>
        <v>Servicios de lavandería, limpieza e higiene</v>
      </c>
      <c r="N281" s="1">
        <v>1.0</v>
      </c>
      <c r="O281" s="1">
        <v>1.0</v>
      </c>
      <c r="P281" s="1">
        <v>9.0</v>
      </c>
      <c r="Q281" s="1">
        <v>0.0</v>
      </c>
      <c r="R281" s="1">
        <v>0.0</v>
      </c>
      <c r="S281" s="1">
        <v>145000.0</v>
      </c>
      <c r="T281" s="1">
        <v>145000.0</v>
      </c>
      <c r="U281" s="1">
        <v>145000.0</v>
      </c>
      <c r="V281" s="1">
        <v>145000.0</v>
      </c>
    </row>
    <row r="282" ht="15.75" customHeight="1">
      <c r="A282" s="1">
        <v>12.0</v>
      </c>
      <c r="B282" s="1" t="s">
        <v>22</v>
      </c>
      <c r="C282" s="1">
        <v>2.0</v>
      </c>
      <c r="D282" s="1">
        <v>3.0</v>
      </c>
      <c r="E282" s="1">
        <v>4.0</v>
      </c>
      <c r="F282" s="1">
        <v>0.0</v>
      </c>
      <c r="G282" s="1">
        <v>14.0</v>
      </c>
      <c r="H282" s="1" t="str">
        <f t="shared" si="4"/>
        <v>P020</v>
      </c>
      <c r="I282" s="1" t="s">
        <v>536</v>
      </c>
      <c r="J282" s="1">
        <v>20.0</v>
      </c>
      <c r="K282" s="2">
        <v>2000.0</v>
      </c>
      <c r="L282" s="1">
        <v>25101.0</v>
      </c>
      <c r="M282" s="1" t="str">
        <f>VLOOKUP(L282,'Catálogos'!$A$2:$B$492,2,0)</f>
        <v>Productos químicos básicos</v>
      </c>
      <c r="N282" s="1">
        <v>1.0</v>
      </c>
      <c r="O282" s="1">
        <v>1.0</v>
      </c>
      <c r="P282" s="1">
        <v>9.0</v>
      </c>
      <c r="Q282" s="1">
        <v>0.0</v>
      </c>
      <c r="R282" s="1">
        <v>721563.0</v>
      </c>
      <c r="S282" s="1">
        <v>717693.0</v>
      </c>
      <c r="T282" s="1">
        <v>717693.0</v>
      </c>
      <c r="U282" s="1">
        <v>717693.0</v>
      </c>
      <c r="V282" s="1">
        <v>717693.0</v>
      </c>
    </row>
    <row r="283" ht="15.75" customHeight="1">
      <c r="A283" s="1">
        <v>12.0</v>
      </c>
      <c r="B283" s="1" t="s">
        <v>22</v>
      </c>
      <c r="C283" s="1">
        <v>2.0</v>
      </c>
      <c r="D283" s="1">
        <v>3.0</v>
      </c>
      <c r="E283" s="1">
        <v>4.0</v>
      </c>
      <c r="F283" s="1">
        <v>0.0</v>
      </c>
      <c r="G283" s="1">
        <v>14.0</v>
      </c>
      <c r="H283" s="1" t="str">
        <f t="shared" si="4"/>
        <v>P020</v>
      </c>
      <c r="I283" s="1" t="s">
        <v>536</v>
      </c>
      <c r="J283" s="1">
        <v>20.0</v>
      </c>
      <c r="K283" s="2">
        <v>2000.0</v>
      </c>
      <c r="L283" s="1">
        <v>25301.0</v>
      </c>
      <c r="M283" s="1" t="str">
        <f>VLOOKUP(L283,'Catálogos'!$A$2:$B$492,2,0)</f>
        <v>Medicinas y productos farmacéuticos</v>
      </c>
      <c r="N283" s="1">
        <v>1.0</v>
      </c>
      <c r="O283" s="1">
        <v>1.0</v>
      </c>
      <c r="P283" s="1">
        <v>9.0</v>
      </c>
      <c r="Q283" s="1">
        <v>0.0</v>
      </c>
      <c r="R283" s="1">
        <v>1474274.0</v>
      </c>
      <c r="S283" s="1">
        <v>1370574.0</v>
      </c>
      <c r="T283" s="1">
        <v>1370574.0</v>
      </c>
      <c r="U283" s="1">
        <v>1370574.0</v>
      </c>
      <c r="V283" s="1">
        <v>1370574.0</v>
      </c>
    </row>
    <row r="284" ht="15.75" customHeight="1">
      <c r="A284" s="1">
        <v>12.0</v>
      </c>
      <c r="B284" s="1" t="s">
        <v>22</v>
      </c>
      <c r="C284" s="1">
        <v>2.0</v>
      </c>
      <c r="D284" s="1">
        <v>3.0</v>
      </c>
      <c r="E284" s="1">
        <v>4.0</v>
      </c>
      <c r="F284" s="1">
        <v>0.0</v>
      </c>
      <c r="G284" s="1">
        <v>14.0</v>
      </c>
      <c r="H284" s="1" t="str">
        <f t="shared" si="4"/>
        <v>P020</v>
      </c>
      <c r="I284" s="1" t="s">
        <v>536</v>
      </c>
      <c r="J284" s="1">
        <v>20.0</v>
      </c>
      <c r="K284" s="2">
        <v>2000.0</v>
      </c>
      <c r="L284" s="1">
        <v>25401.0</v>
      </c>
      <c r="M284" s="1" t="str">
        <f>VLOOKUP(L284,'Catálogos'!$A$2:$B$492,2,0)</f>
        <v>Materiales, accesorios y suministros médicos</v>
      </c>
      <c r="N284" s="1">
        <v>1.0</v>
      </c>
      <c r="O284" s="1">
        <v>1.0</v>
      </c>
      <c r="P284" s="1">
        <v>9.0</v>
      </c>
      <c r="Q284" s="1">
        <v>0.0</v>
      </c>
      <c r="R284" s="1">
        <v>1224318.0</v>
      </c>
      <c r="S284" s="1">
        <v>1224318.0</v>
      </c>
      <c r="T284" s="1">
        <v>1224318.0</v>
      </c>
      <c r="U284" s="1">
        <v>1224318.0</v>
      </c>
      <c r="V284" s="1">
        <v>1224318.0</v>
      </c>
    </row>
    <row r="285" ht="15.75" customHeight="1">
      <c r="A285" s="1">
        <v>12.0</v>
      </c>
      <c r="B285" s="1" t="s">
        <v>22</v>
      </c>
      <c r="C285" s="1">
        <v>2.0</v>
      </c>
      <c r="D285" s="1">
        <v>3.0</v>
      </c>
      <c r="E285" s="1">
        <v>4.0</v>
      </c>
      <c r="F285" s="1">
        <v>0.0</v>
      </c>
      <c r="G285" s="1">
        <v>14.0</v>
      </c>
      <c r="H285" s="1" t="str">
        <f t="shared" si="4"/>
        <v>P020</v>
      </c>
      <c r="I285" s="1" t="s">
        <v>536</v>
      </c>
      <c r="J285" s="1">
        <v>20.0</v>
      </c>
      <c r="K285" s="2">
        <v>2000.0</v>
      </c>
      <c r="L285" s="1">
        <v>25501.0</v>
      </c>
      <c r="M285" s="1" t="str">
        <f>VLOOKUP(L285,'Catálogos'!$A$2:$B$492,2,0)</f>
        <v>Materiales, accesorios y suministros de laboratorio</v>
      </c>
      <c r="N285" s="1">
        <v>1.0</v>
      </c>
      <c r="O285" s="1">
        <v>1.0</v>
      </c>
      <c r="P285" s="1">
        <v>9.0</v>
      </c>
      <c r="Q285" s="1">
        <v>0.0</v>
      </c>
      <c r="R285" s="1">
        <v>133055.0</v>
      </c>
      <c r="S285" s="1">
        <v>0.0</v>
      </c>
      <c r="T285" s="1">
        <v>0.0</v>
      </c>
      <c r="U285" s="1">
        <v>0.0</v>
      </c>
      <c r="V285" s="1">
        <v>0.0</v>
      </c>
    </row>
    <row r="286" ht="15.75" customHeight="1">
      <c r="A286" s="1">
        <v>12.0</v>
      </c>
      <c r="B286" s="1" t="s">
        <v>22</v>
      </c>
      <c r="C286" s="1">
        <v>2.0</v>
      </c>
      <c r="D286" s="1">
        <v>3.0</v>
      </c>
      <c r="E286" s="1">
        <v>5.0</v>
      </c>
      <c r="F286" s="1">
        <v>0.0</v>
      </c>
      <c r="G286" s="1">
        <v>18.0</v>
      </c>
      <c r="H286" s="1" t="str">
        <f t="shared" si="4"/>
        <v>E023</v>
      </c>
      <c r="I286" s="1" t="s">
        <v>42</v>
      </c>
      <c r="J286" s="1">
        <v>23.0</v>
      </c>
      <c r="K286" s="2">
        <v>2000.0</v>
      </c>
      <c r="L286" s="1">
        <v>22201.0</v>
      </c>
      <c r="M286" s="1" t="str">
        <f>VLOOKUP(L286,'Catálogos'!$A$2:$B$492,2,0)</f>
        <v>Productos alimenticios para animales</v>
      </c>
      <c r="N286" s="1">
        <v>1.0</v>
      </c>
      <c r="O286" s="1">
        <v>1.0</v>
      </c>
      <c r="P286" s="1">
        <v>9.0</v>
      </c>
      <c r="Q286" s="1">
        <v>0.0</v>
      </c>
      <c r="R286" s="1">
        <v>0.0</v>
      </c>
      <c r="S286" s="1">
        <v>146173.0</v>
      </c>
      <c r="T286" s="1">
        <v>146173.0</v>
      </c>
      <c r="U286" s="1">
        <v>146173.0</v>
      </c>
      <c r="V286" s="1">
        <v>146173.0</v>
      </c>
    </row>
    <row r="287" ht="15.75" customHeight="1">
      <c r="A287" s="1">
        <v>12.0</v>
      </c>
      <c r="B287" s="1" t="s">
        <v>22</v>
      </c>
      <c r="C287" s="1">
        <v>2.0</v>
      </c>
      <c r="D287" s="1">
        <v>3.0</v>
      </c>
      <c r="E287" s="1">
        <v>5.0</v>
      </c>
      <c r="F287" s="1">
        <v>0.0</v>
      </c>
      <c r="G287" s="1">
        <v>18.0</v>
      </c>
      <c r="H287" s="1" t="str">
        <f t="shared" si="4"/>
        <v>E023</v>
      </c>
      <c r="I287" s="1" t="s">
        <v>42</v>
      </c>
      <c r="J287" s="1">
        <v>23.0</v>
      </c>
      <c r="K287" s="2">
        <v>2000.0</v>
      </c>
      <c r="L287" s="1">
        <v>24901.0</v>
      </c>
      <c r="M287" s="1" t="str">
        <f>VLOOKUP(L287,'Catálogos'!$A$2:$B$492,2,0)</f>
        <v>Otros materiales y artículos de construcción y reparación</v>
      </c>
      <c r="N287" s="1">
        <v>1.0</v>
      </c>
      <c r="O287" s="1">
        <v>1.0</v>
      </c>
      <c r="P287" s="1">
        <v>9.0</v>
      </c>
      <c r="Q287" s="1">
        <v>0.0</v>
      </c>
      <c r="R287" s="1">
        <v>0.0</v>
      </c>
      <c r="S287" s="1">
        <v>59586.0</v>
      </c>
      <c r="T287" s="1">
        <v>59586.0</v>
      </c>
      <c r="U287" s="1">
        <v>59586.0</v>
      </c>
      <c r="V287" s="1">
        <v>59586.0</v>
      </c>
    </row>
    <row r="288" ht="15.75" customHeight="1">
      <c r="A288" s="1">
        <v>12.0</v>
      </c>
      <c r="B288" s="1" t="s">
        <v>22</v>
      </c>
      <c r="C288" s="1">
        <v>2.0</v>
      </c>
      <c r="D288" s="1">
        <v>3.0</v>
      </c>
      <c r="E288" s="1">
        <v>5.0</v>
      </c>
      <c r="F288" s="1">
        <v>0.0</v>
      </c>
      <c r="G288" s="1">
        <v>18.0</v>
      </c>
      <c r="H288" s="1" t="str">
        <f t="shared" si="4"/>
        <v>E023</v>
      </c>
      <c r="I288" s="1" t="s">
        <v>42</v>
      </c>
      <c r="J288" s="1">
        <v>23.0</v>
      </c>
      <c r="K288" s="2">
        <v>2000.0</v>
      </c>
      <c r="L288" s="1">
        <v>25301.0</v>
      </c>
      <c r="M288" s="1" t="str">
        <f>VLOOKUP(L288,'Catálogos'!$A$2:$B$492,2,0)</f>
        <v>Medicinas y productos farmacéuticos</v>
      </c>
      <c r="N288" s="1">
        <v>1.0</v>
      </c>
      <c r="O288" s="1">
        <v>1.0</v>
      </c>
      <c r="P288" s="1">
        <v>9.0</v>
      </c>
      <c r="Q288" s="1">
        <v>0.0</v>
      </c>
      <c r="R288" s="1">
        <v>0.0</v>
      </c>
      <c r="S288" s="1">
        <v>1.0176085E7</v>
      </c>
      <c r="T288" s="1">
        <v>1.0176085E7</v>
      </c>
      <c r="U288" s="1">
        <v>1.0176085E7</v>
      </c>
      <c r="V288" s="1">
        <v>1.0176085E7</v>
      </c>
    </row>
    <row r="289" ht="15.75" customHeight="1">
      <c r="A289" s="1">
        <v>12.0</v>
      </c>
      <c r="B289" s="1" t="s">
        <v>22</v>
      </c>
      <c r="C289" s="1">
        <v>2.0</v>
      </c>
      <c r="D289" s="1">
        <v>3.0</v>
      </c>
      <c r="E289" s="1">
        <v>5.0</v>
      </c>
      <c r="F289" s="1">
        <v>0.0</v>
      </c>
      <c r="G289" s="1">
        <v>18.0</v>
      </c>
      <c r="H289" s="1" t="str">
        <f t="shared" si="4"/>
        <v>E023</v>
      </c>
      <c r="I289" s="1" t="s">
        <v>42</v>
      </c>
      <c r="J289" s="1">
        <v>23.0</v>
      </c>
      <c r="K289" s="2">
        <v>2000.0</v>
      </c>
      <c r="L289" s="1">
        <v>25401.0</v>
      </c>
      <c r="M289" s="1" t="str">
        <f>VLOOKUP(L289,'Catálogos'!$A$2:$B$492,2,0)</f>
        <v>Materiales, accesorios y suministros médicos</v>
      </c>
      <c r="N289" s="1">
        <v>1.0</v>
      </c>
      <c r="O289" s="1">
        <v>1.0</v>
      </c>
      <c r="P289" s="1">
        <v>9.0</v>
      </c>
      <c r="Q289" s="1">
        <v>0.0</v>
      </c>
      <c r="R289" s="1">
        <v>0.0</v>
      </c>
      <c r="S289" s="1">
        <v>2741073.0</v>
      </c>
      <c r="T289" s="1">
        <v>2741073.0</v>
      </c>
      <c r="U289" s="1">
        <v>2741073.0</v>
      </c>
      <c r="V289" s="1">
        <v>2741073.0</v>
      </c>
    </row>
    <row r="290" ht="15.75" customHeight="1">
      <c r="A290" s="1">
        <v>12.0</v>
      </c>
      <c r="B290" s="1" t="s">
        <v>22</v>
      </c>
      <c r="C290" s="1">
        <v>2.0</v>
      </c>
      <c r="D290" s="1">
        <v>3.0</v>
      </c>
      <c r="E290" s="1">
        <v>5.0</v>
      </c>
      <c r="F290" s="1">
        <v>0.0</v>
      </c>
      <c r="G290" s="1">
        <v>18.0</v>
      </c>
      <c r="H290" s="1" t="str">
        <f t="shared" si="4"/>
        <v>E023</v>
      </c>
      <c r="I290" s="1" t="s">
        <v>42</v>
      </c>
      <c r="J290" s="1">
        <v>23.0</v>
      </c>
      <c r="K290" s="2">
        <v>2000.0</v>
      </c>
      <c r="L290" s="1">
        <v>27101.0</v>
      </c>
      <c r="M290" s="1" t="str">
        <f>VLOOKUP(L290,'Catálogos'!$A$2:$B$492,2,0)</f>
        <v>Vestuario y uniformes</v>
      </c>
      <c r="N290" s="1">
        <v>1.0</v>
      </c>
      <c r="O290" s="1">
        <v>1.0</v>
      </c>
      <c r="P290" s="1">
        <v>9.0</v>
      </c>
      <c r="Q290" s="1">
        <v>0.0</v>
      </c>
      <c r="R290" s="1">
        <v>0.0</v>
      </c>
      <c r="S290" s="1">
        <v>756054.0</v>
      </c>
      <c r="T290" s="1">
        <v>756054.0</v>
      </c>
      <c r="U290" s="1">
        <v>756054.0</v>
      </c>
      <c r="V290" s="1">
        <v>756054.0</v>
      </c>
    </row>
    <row r="291" ht="15.75" customHeight="1">
      <c r="A291" s="1">
        <v>12.0</v>
      </c>
      <c r="B291" s="1" t="s">
        <v>22</v>
      </c>
      <c r="C291" s="1">
        <v>2.0</v>
      </c>
      <c r="D291" s="1">
        <v>3.0</v>
      </c>
      <c r="E291" s="1">
        <v>5.0</v>
      </c>
      <c r="F291" s="1">
        <v>0.0</v>
      </c>
      <c r="G291" s="1">
        <v>18.0</v>
      </c>
      <c r="H291" s="1" t="str">
        <f t="shared" si="4"/>
        <v>E023</v>
      </c>
      <c r="I291" s="1" t="s">
        <v>42</v>
      </c>
      <c r="J291" s="1">
        <v>23.0</v>
      </c>
      <c r="K291" s="2">
        <v>3000.0</v>
      </c>
      <c r="L291" s="1">
        <v>33801.0</v>
      </c>
      <c r="M291" s="1" t="str">
        <f>VLOOKUP(L291,'Catálogos'!$A$2:$B$492,2,0)</f>
        <v>Servicios de vigilancia</v>
      </c>
      <c r="N291" s="1">
        <v>1.0</v>
      </c>
      <c r="O291" s="1">
        <v>1.0</v>
      </c>
      <c r="P291" s="1">
        <v>9.0</v>
      </c>
      <c r="Q291" s="1">
        <v>0.0</v>
      </c>
      <c r="R291" s="1">
        <v>0.0</v>
      </c>
      <c r="S291" s="1">
        <v>4683955.0</v>
      </c>
      <c r="T291" s="1">
        <v>4683955.0</v>
      </c>
      <c r="U291" s="1">
        <v>4683955.0</v>
      </c>
      <c r="V291" s="1">
        <v>4683955.0</v>
      </c>
    </row>
    <row r="292" ht="15.75" customHeight="1">
      <c r="A292" s="1">
        <v>12.0</v>
      </c>
      <c r="B292" s="1" t="s">
        <v>22</v>
      </c>
      <c r="C292" s="1">
        <v>2.0</v>
      </c>
      <c r="D292" s="1">
        <v>3.0</v>
      </c>
      <c r="E292" s="1">
        <v>5.0</v>
      </c>
      <c r="F292" s="1">
        <v>0.0</v>
      </c>
      <c r="G292" s="1">
        <v>18.0</v>
      </c>
      <c r="H292" s="1" t="str">
        <f t="shared" si="4"/>
        <v>E023</v>
      </c>
      <c r="I292" s="1" t="s">
        <v>42</v>
      </c>
      <c r="J292" s="1">
        <v>23.0</v>
      </c>
      <c r="K292" s="2">
        <v>3000.0</v>
      </c>
      <c r="L292" s="1">
        <v>33901.0</v>
      </c>
      <c r="M292" s="1" t="str">
        <f>VLOOKUP(L292,'Catálogos'!$A$2:$B$492,2,0)</f>
        <v>Subcontratación de servicios con terceros</v>
      </c>
      <c r="N292" s="1">
        <v>1.0</v>
      </c>
      <c r="O292" s="1">
        <v>1.0</v>
      </c>
      <c r="P292" s="1">
        <v>9.0</v>
      </c>
      <c r="Q292" s="1">
        <v>0.0</v>
      </c>
      <c r="R292" s="1">
        <v>0.0</v>
      </c>
      <c r="S292" s="1">
        <v>1654664.0</v>
      </c>
      <c r="T292" s="1">
        <v>1654664.0</v>
      </c>
      <c r="U292" s="1">
        <v>1654664.0</v>
      </c>
      <c r="V292" s="1">
        <v>1654664.0</v>
      </c>
    </row>
    <row r="293" ht="15.75" customHeight="1">
      <c r="A293" s="1">
        <v>12.0</v>
      </c>
      <c r="B293" s="1" t="s">
        <v>22</v>
      </c>
      <c r="C293" s="1">
        <v>2.0</v>
      </c>
      <c r="D293" s="1">
        <v>3.0</v>
      </c>
      <c r="E293" s="1">
        <v>5.0</v>
      </c>
      <c r="F293" s="1">
        <v>0.0</v>
      </c>
      <c r="G293" s="1">
        <v>18.0</v>
      </c>
      <c r="H293" s="1" t="str">
        <f t="shared" si="4"/>
        <v>E023</v>
      </c>
      <c r="I293" s="1" t="s">
        <v>42</v>
      </c>
      <c r="J293" s="1">
        <v>23.0</v>
      </c>
      <c r="K293" s="2">
        <v>3000.0</v>
      </c>
      <c r="L293" s="1">
        <v>33903.0</v>
      </c>
      <c r="M293" s="1" t="str">
        <f>VLOOKUP(L293,'Catálogos'!$A$2:$B$492,2,0)</f>
        <v>Servicios integrales</v>
      </c>
      <c r="N293" s="1">
        <v>1.0</v>
      </c>
      <c r="O293" s="1">
        <v>1.0</v>
      </c>
      <c r="P293" s="1">
        <v>9.0</v>
      </c>
      <c r="Q293" s="1">
        <v>0.0</v>
      </c>
      <c r="R293" s="1">
        <v>0.0</v>
      </c>
      <c r="S293" s="1">
        <v>9206740.0</v>
      </c>
      <c r="T293" s="1">
        <v>9206740.0</v>
      </c>
      <c r="U293" s="1">
        <v>9206740.0</v>
      </c>
      <c r="V293" s="1">
        <v>9206740.0</v>
      </c>
    </row>
    <row r="294" ht="15.75" customHeight="1">
      <c r="A294" s="1">
        <v>12.0</v>
      </c>
      <c r="B294" s="1" t="s">
        <v>22</v>
      </c>
      <c r="C294" s="1">
        <v>2.0</v>
      </c>
      <c r="D294" s="1">
        <v>3.0</v>
      </c>
      <c r="E294" s="1">
        <v>5.0</v>
      </c>
      <c r="F294" s="1">
        <v>0.0</v>
      </c>
      <c r="G294" s="1">
        <v>18.0</v>
      </c>
      <c r="H294" s="1" t="str">
        <f t="shared" si="4"/>
        <v>E023</v>
      </c>
      <c r="I294" s="1" t="s">
        <v>42</v>
      </c>
      <c r="J294" s="1">
        <v>23.0</v>
      </c>
      <c r="K294" s="2">
        <v>3000.0</v>
      </c>
      <c r="L294" s="1">
        <v>35401.0</v>
      </c>
      <c r="M294" s="1" t="str">
        <f>VLOOKUP(L294,'Catálogos'!$A$2:$B$492,2,0)</f>
        <v>Instalación, reparación y mantenimiento de equipo e instrumental médico y de laboratorio</v>
      </c>
      <c r="N294" s="1">
        <v>1.0</v>
      </c>
      <c r="O294" s="1">
        <v>1.0</v>
      </c>
      <c r="P294" s="1">
        <v>9.0</v>
      </c>
      <c r="Q294" s="1">
        <v>0.0</v>
      </c>
      <c r="R294" s="1">
        <v>0.0</v>
      </c>
      <c r="S294" s="1">
        <v>9158081.0</v>
      </c>
      <c r="T294" s="1">
        <v>9158081.0</v>
      </c>
      <c r="U294" s="1">
        <v>9158081.0</v>
      </c>
      <c r="V294" s="1">
        <v>9158081.0</v>
      </c>
    </row>
    <row r="295" ht="15.75" customHeight="1">
      <c r="A295" s="1">
        <v>12.0</v>
      </c>
      <c r="B295" s="1" t="s">
        <v>22</v>
      </c>
      <c r="C295" s="1">
        <v>2.0</v>
      </c>
      <c r="D295" s="1">
        <v>3.0</v>
      </c>
      <c r="E295" s="1">
        <v>5.0</v>
      </c>
      <c r="F295" s="1">
        <v>0.0</v>
      </c>
      <c r="G295" s="1">
        <v>18.0</v>
      </c>
      <c r="H295" s="1" t="str">
        <f t="shared" si="4"/>
        <v>E023</v>
      </c>
      <c r="I295" s="1" t="s">
        <v>42</v>
      </c>
      <c r="J295" s="1">
        <v>23.0</v>
      </c>
      <c r="K295" s="2">
        <v>3000.0</v>
      </c>
      <c r="L295" s="1">
        <v>35701.0</v>
      </c>
      <c r="M295" s="1" t="str">
        <f>VLOOKUP(L295,'Catálogos'!$A$2:$B$492,2,0)</f>
        <v>Mantenimiento y conservación de maquinaria y equipo</v>
      </c>
      <c r="N295" s="1">
        <v>1.0</v>
      </c>
      <c r="O295" s="1">
        <v>1.0</v>
      </c>
      <c r="P295" s="1">
        <v>9.0</v>
      </c>
      <c r="Q295" s="1">
        <v>0.0</v>
      </c>
      <c r="R295" s="1">
        <v>0.0</v>
      </c>
      <c r="S295" s="1">
        <v>188693.0</v>
      </c>
      <c r="T295" s="1">
        <v>188693.0</v>
      </c>
      <c r="U295" s="1">
        <v>188693.0</v>
      </c>
      <c r="V295" s="1">
        <v>188693.0</v>
      </c>
    </row>
    <row r="296" ht="15.75" customHeight="1">
      <c r="A296" s="1">
        <v>12.0</v>
      </c>
      <c r="B296" s="1" t="s">
        <v>22</v>
      </c>
      <c r="C296" s="1">
        <v>2.0</v>
      </c>
      <c r="D296" s="1">
        <v>3.0</v>
      </c>
      <c r="E296" s="1">
        <v>5.0</v>
      </c>
      <c r="F296" s="1">
        <v>0.0</v>
      </c>
      <c r="G296" s="1">
        <v>18.0</v>
      </c>
      <c r="H296" s="1" t="str">
        <f t="shared" si="4"/>
        <v>E023</v>
      </c>
      <c r="I296" s="1" t="s">
        <v>42</v>
      </c>
      <c r="J296" s="1">
        <v>23.0</v>
      </c>
      <c r="K296" s="2">
        <v>3000.0</v>
      </c>
      <c r="L296" s="1">
        <v>35801.0</v>
      </c>
      <c r="M296" s="1" t="str">
        <f>VLOOKUP(L296,'Catálogos'!$A$2:$B$492,2,0)</f>
        <v>Servicios de lavandería, limpieza e higiene</v>
      </c>
      <c r="N296" s="1">
        <v>1.0</v>
      </c>
      <c r="O296" s="1">
        <v>1.0</v>
      </c>
      <c r="P296" s="1">
        <v>9.0</v>
      </c>
      <c r="Q296" s="1">
        <v>0.0</v>
      </c>
      <c r="R296" s="1">
        <v>0.0</v>
      </c>
      <c r="S296" s="1">
        <v>2.7566453E7</v>
      </c>
      <c r="T296" s="1">
        <v>2.7566453E7</v>
      </c>
      <c r="U296" s="1">
        <v>2.7566453E7</v>
      </c>
      <c r="V296" s="1">
        <v>2.7566453E7</v>
      </c>
    </row>
    <row r="297" ht="15.75" customHeight="1">
      <c r="A297" s="1">
        <v>12.0</v>
      </c>
      <c r="B297" s="1" t="s">
        <v>22</v>
      </c>
      <c r="C297" s="1">
        <v>2.0</v>
      </c>
      <c r="D297" s="1">
        <v>3.0</v>
      </c>
      <c r="E297" s="1">
        <v>5.0</v>
      </c>
      <c r="F297" s="1">
        <v>0.0</v>
      </c>
      <c r="G297" s="1">
        <v>18.0</v>
      </c>
      <c r="H297" s="1" t="str">
        <f t="shared" si="4"/>
        <v>E023</v>
      </c>
      <c r="I297" s="1" t="s">
        <v>42</v>
      </c>
      <c r="J297" s="1">
        <v>23.0</v>
      </c>
      <c r="K297" s="2">
        <v>7000.0</v>
      </c>
      <c r="L297" s="1">
        <v>79902.0</v>
      </c>
      <c r="M297" s="1" t="str">
        <f>VLOOKUP(L297,'Catálogos'!$A$2:$B$492,2,0)</f>
        <v>Provisiones para Erogaciones Especiales</v>
      </c>
      <c r="N297" s="1">
        <v>1.0</v>
      </c>
      <c r="O297" s="1">
        <v>1.0</v>
      </c>
      <c r="P297" s="1">
        <v>9.0</v>
      </c>
      <c r="Q297" s="1">
        <v>0.0</v>
      </c>
      <c r="R297" s="1">
        <v>7.646393E7</v>
      </c>
      <c r="S297" s="1">
        <v>0.0</v>
      </c>
      <c r="T297" s="1">
        <v>0.0</v>
      </c>
      <c r="U297" s="1">
        <v>0.0</v>
      </c>
      <c r="V297" s="1">
        <v>0.0</v>
      </c>
    </row>
    <row r="298" ht="15.75" customHeight="1">
      <c r="A298" s="1">
        <v>12.0</v>
      </c>
      <c r="B298" s="1" t="s">
        <v>22</v>
      </c>
      <c r="C298" s="1">
        <v>3.0</v>
      </c>
      <c r="D298" s="1">
        <v>8.0</v>
      </c>
      <c r="E298" s="1">
        <v>1.0</v>
      </c>
      <c r="F298" s="1">
        <v>0.0</v>
      </c>
      <c r="G298" s="1">
        <v>24.0</v>
      </c>
      <c r="H298" s="1" t="str">
        <f t="shared" si="4"/>
        <v>E022</v>
      </c>
      <c r="I298" s="1" t="s">
        <v>42</v>
      </c>
      <c r="J298" s="1">
        <v>22.0</v>
      </c>
      <c r="K298" s="2">
        <v>1000.0</v>
      </c>
      <c r="L298" s="1">
        <v>11301.0</v>
      </c>
      <c r="M298" s="1" t="str">
        <f>VLOOKUP(L298,'Catálogos'!$A$2:$B$492,2,0)</f>
        <v>Sueldos base</v>
      </c>
      <c r="N298" s="1">
        <v>1.0</v>
      </c>
      <c r="O298" s="1">
        <v>1.0</v>
      </c>
      <c r="P298" s="1">
        <v>9.0</v>
      </c>
      <c r="Q298" s="1">
        <v>0.0</v>
      </c>
      <c r="R298" s="1">
        <v>3.4387357E7</v>
      </c>
      <c r="S298" s="1">
        <v>3.4367603E7</v>
      </c>
      <c r="T298" s="1">
        <v>3.4367603E7</v>
      </c>
      <c r="U298" s="1">
        <v>3.4367603E7</v>
      </c>
      <c r="V298" s="1">
        <v>3.4367603E7</v>
      </c>
    </row>
    <row r="299" ht="15.75" customHeight="1">
      <c r="A299" s="1">
        <v>12.0</v>
      </c>
      <c r="B299" s="1" t="s">
        <v>22</v>
      </c>
      <c r="C299" s="1">
        <v>3.0</v>
      </c>
      <c r="D299" s="1">
        <v>8.0</v>
      </c>
      <c r="E299" s="1">
        <v>1.0</v>
      </c>
      <c r="F299" s="1">
        <v>0.0</v>
      </c>
      <c r="G299" s="1">
        <v>24.0</v>
      </c>
      <c r="H299" s="1" t="str">
        <f t="shared" si="4"/>
        <v>E022</v>
      </c>
      <c r="I299" s="1" t="s">
        <v>42</v>
      </c>
      <c r="J299" s="1">
        <v>22.0</v>
      </c>
      <c r="K299" s="2">
        <v>1000.0</v>
      </c>
      <c r="L299" s="1">
        <v>13101.0</v>
      </c>
      <c r="M299" s="1" t="str">
        <f>VLOOKUP(L299,'Catálogos'!$A$2:$B$492,2,0)</f>
        <v>Prima quinquenal por años de servicios efectivos prestados</v>
      </c>
      <c r="N299" s="1">
        <v>1.0</v>
      </c>
      <c r="O299" s="1">
        <v>1.0</v>
      </c>
      <c r="P299" s="1">
        <v>9.0</v>
      </c>
      <c r="Q299" s="1">
        <v>0.0</v>
      </c>
      <c r="R299" s="1">
        <v>810083.0</v>
      </c>
      <c r="S299" s="1">
        <v>810083.0</v>
      </c>
      <c r="T299" s="1">
        <v>810083.0</v>
      </c>
      <c r="U299" s="1">
        <v>810083.0</v>
      </c>
      <c r="V299" s="1">
        <v>810083.0</v>
      </c>
    </row>
    <row r="300" ht="15.75" customHeight="1">
      <c r="A300" s="1">
        <v>12.0</v>
      </c>
      <c r="B300" s="1" t="s">
        <v>22</v>
      </c>
      <c r="C300" s="1">
        <v>3.0</v>
      </c>
      <c r="D300" s="1">
        <v>8.0</v>
      </c>
      <c r="E300" s="1">
        <v>1.0</v>
      </c>
      <c r="F300" s="1">
        <v>0.0</v>
      </c>
      <c r="G300" s="1">
        <v>24.0</v>
      </c>
      <c r="H300" s="1" t="str">
        <f t="shared" si="4"/>
        <v>E022</v>
      </c>
      <c r="I300" s="1" t="s">
        <v>42</v>
      </c>
      <c r="J300" s="1">
        <v>22.0</v>
      </c>
      <c r="K300" s="2">
        <v>1000.0</v>
      </c>
      <c r="L300" s="1">
        <v>13201.0</v>
      </c>
      <c r="M300" s="1" t="str">
        <f>VLOOKUP(L300,'Catálogos'!$A$2:$B$492,2,0)</f>
        <v>Primas de vacaciones y dominical</v>
      </c>
      <c r="N300" s="1">
        <v>1.0</v>
      </c>
      <c r="O300" s="1">
        <v>1.0</v>
      </c>
      <c r="P300" s="1">
        <v>9.0</v>
      </c>
      <c r="Q300" s="1">
        <v>0.0</v>
      </c>
      <c r="R300" s="1">
        <v>1430107.0</v>
      </c>
      <c r="S300" s="1">
        <v>1430107.0</v>
      </c>
      <c r="T300" s="1">
        <v>1430107.0</v>
      </c>
      <c r="U300" s="1">
        <v>1430107.0</v>
      </c>
      <c r="V300" s="1">
        <v>1430107.0</v>
      </c>
    </row>
    <row r="301" ht="15.75" customHeight="1">
      <c r="A301" s="1">
        <v>12.0</v>
      </c>
      <c r="B301" s="1" t="s">
        <v>22</v>
      </c>
      <c r="C301" s="1">
        <v>3.0</v>
      </c>
      <c r="D301" s="1">
        <v>8.0</v>
      </c>
      <c r="E301" s="1">
        <v>1.0</v>
      </c>
      <c r="F301" s="1">
        <v>0.0</v>
      </c>
      <c r="G301" s="1">
        <v>24.0</v>
      </c>
      <c r="H301" s="1" t="str">
        <f t="shared" si="4"/>
        <v>E022</v>
      </c>
      <c r="I301" s="1" t="s">
        <v>42</v>
      </c>
      <c r="J301" s="1">
        <v>22.0</v>
      </c>
      <c r="K301" s="2">
        <v>1000.0</v>
      </c>
      <c r="L301" s="1">
        <v>13202.0</v>
      </c>
      <c r="M301" s="1" t="str">
        <f>VLOOKUP(L301,'Catálogos'!$A$2:$B$492,2,0)</f>
        <v>Aguinaldo o gratificación de fin de año</v>
      </c>
      <c r="N301" s="1">
        <v>1.0</v>
      </c>
      <c r="O301" s="1">
        <v>1.0</v>
      </c>
      <c r="P301" s="1">
        <v>9.0</v>
      </c>
      <c r="Q301" s="1">
        <v>0.0</v>
      </c>
      <c r="R301" s="1">
        <v>4578147.0</v>
      </c>
      <c r="S301" s="1">
        <v>1261402.0</v>
      </c>
      <c r="T301" s="1">
        <v>1261402.0</v>
      </c>
      <c r="U301" s="1">
        <v>1261402.0</v>
      </c>
      <c r="V301" s="1">
        <v>1261402.0</v>
      </c>
    </row>
    <row r="302" ht="15.75" customHeight="1">
      <c r="A302" s="1">
        <v>12.0</v>
      </c>
      <c r="B302" s="1" t="s">
        <v>22</v>
      </c>
      <c r="C302" s="1">
        <v>3.0</v>
      </c>
      <c r="D302" s="1">
        <v>8.0</v>
      </c>
      <c r="E302" s="1">
        <v>1.0</v>
      </c>
      <c r="F302" s="1">
        <v>0.0</v>
      </c>
      <c r="G302" s="1">
        <v>24.0</v>
      </c>
      <c r="H302" s="1" t="str">
        <f t="shared" si="4"/>
        <v>E022</v>
      </c>
      <c r="I302" s="1" t="s">
        <v>42</v>
      </c>
      <c r="J302" s="1">
        <v>22.0</v>
      </c>
      <c r="K302" s="2">
        <v>1000.0</v>
      </c>
      <c r="L302" s="1">
        <v>13301.0</v>
      </c>
      <c r="M302" s="1" t="str">
        <f>VLOOKUP(L302,'Catálogos'!$A$2:$B$492,2,0)</f>
        <v>Remuneraciones por horas extraordinarias</v>
      </c>
      <c r="N302" s="1">
        <v>1.0</v>
      </c>
      <c r="O302" s="1">
        <v>1.0</v>
      </c>
      <c r="P302" s="1">
        <v>9.0</v>
      </c>
      <c r="Q302" s="1">
        <v>0.0</v>
      </c>
      <c r="R302" s="1">
        <v>176166.0</v>
      </c>
      <c r="S302" s="1">
        <v>123431.0</v>
      </c>
      <c r="T302" s="1">
        <v>123431.0</v>
      </c>
      <c r="U302" s="1">
        <v>123431.0</v>
      </c>
      <c r="V302" s="1">
        <v>123431.0</v>
      </c>
    </row>
    <row r="303" ht="15.75" customHeight="1">
      <c r="A303" s="1">
        <v>12.0</v>
      </c>
      <c r="B303" s="1" t="s">
        <v>22</v>
      </c>
      <c r="C303" s="1">
        <v>3.0</v>
      </c>
      <c r="D303" s="1">
        <v>8.0</v>
      </c>
      <c r="E303" s="1">
        <v>1.0</v>
      </c>
      <c r="F303" s="1">
        <v>0.0</v>
      </c>
      <c r="G303" s="1">
        <v>24.0</v>
      </c>
      <c r="H303" s="1" t="str">
        <f t="shared" si="4"/>
        <v>E022</v>
      </c>
      <c r="I303" s="1" t="s">
        <v>42</v>
      </c>
      <c r="J303" s="1">
        <v>22.0</v>
      </c>
      <c r="K303" s="2">
        <v>1000.0</v>
      </c>
      <c r="L303" s="1">
        <v>13404.0</v>
      </c>
      <c r="M303" s="1" t="str">
        <f>VLOOKUP(L303,'Catálogos'!$A$2:$B$492,2,0)</f>
        <v>Compensaciones por servicios eventuales</v>
      </c>
      <c r="N303" s="1">
        <v>1.0</v>
      </c>
      <c r="O303" s="1">
        <v>1.0</v>
      </c>
      <c r="P303" s="1">
        <v>9.0</v>
      </c>
      <c r="Q303" s="1">
        <v>0.0</v>
      </c>
      <c r="R303" s="1">
        <v>457070.0</v>
      </c>
      <c r="S303" s="1">
        <v>511048.0</v>
      </c>
      <c r="T303" s="1">
        <v>511048.0</v>
      </c>
      <c r="U303" s="1">
        <v>511048.0</v>
      </c>
      <c r="V303" s="1">
        <v>511048.0</v>
      </c>
    </row>
    <row r="304" ht="15.75" customHeight="1">
      <c r="A304" s="1">
        <v>12.0</v>
      </c>
      <c r="B304" s="1" t="s">
        <v>22</v>
      </c>
      <c r="C304" s="1">
        <v>3.0</v>
      </c>
      <c r="D304" s="1">
        <v>8.0</v>
      </c>
      <c r="E304" s="1">
        <v>1.0</v>
      </c>
      <c r="F304" s="1">
        <v>0.0</v>
      </c>
      <c r="G304" s="1">
        <v>24.0</v>
      </c>
      <c r="H304" s="1" t="str">
        <f t="shared" si="4"/>
        <v>E022</v>
      </c>
      <c r="I304" s="1" t="s">
        <v>42</v>
      </c>
      <c r="J304" s="1">
        <v>22.0</v>
      </c>
      <c r="K304" s="2">
        <v>1000.0</v>
      </c>
      <c r="L304" s="1">
        <v>13407.0</v>
      </c>
      <c r="M304" s="1" t="str">
        <f>VLOOKUP(L304,'Catálogos'!$A$2:$B$492,2,0)</f>
        <v>Compensaciones adicionales por servicios especiales</v>
      </c>
      <c r="N304" s="1">
        <v>1.0</v>
      </c>
      <c r="O304" s="1">
        <v>1.0</v>
      </c>
      <c r="P304" s="1">
        <v>9.0</v>
      </c>
      <c r="Q304" s="1">
        <v>0.0</v>
      </c>
      <c r="R304" s="1">
        <v>3683660.0</v>
      </c>
      <c r="S304" s="1">
        <v>3683660.0</v>
      </c>
      <c r="T304" s="1">
        <v>3683660.0</v>
      </c>
      <c r="U304" s="1">
        <v>3683660.0</v>
      </c>
      <c r="V304" s="1">
        <v>3683660.0</v>
      </c>
    </row>
    <row r="305" ht="15.75" customHeight="1">
      <c r="A305" s="1">
        <v>12.0</v>
      </c>
      <c r="B305" s="1" t="s">
        <v>22</v>
      </c>
      <c r="C305" s="1">
        <v>3.0</v>
      </c>
      <c r="D305" s="1">
        <v>8.0</v>
      </c>
      <c r="E305" s="1">
        <v>1.0</v>
      </c>
      <c r="F305" s="1">
        <v>0.0</v>
      </c>
      <c r="G305" s="1">
        <v>24.0</v>
      </c>
      <c r="H305" s="1" t="str">
        <f t="shared" si="4"/>
        <v>E022</v>
      </c>
      <c r="I305" s="1" t="s">
        <v>42</v>
      </c>
      <c r="J305" s="1">
        <v>22.0</v>
      </c>
      <c r="K305" s="2">
        <v>1000.0</v>
      </c>
      <c r="L305" s="1">
        <v>13410.0</v>
      </c>
      <c r="M305" s="1" t="str">
        <f>VLOOKUP(L305,'Catálogos'!$A$2:$B$492,2,0)</f>
        <v>Compensación por actualización y formación académica</v>
      </c>
      <c r="N305" s="1">
        <v>1.0</v>
      </c>
      <c r="O305" s="1">
        <v>1.0</v>
      </c>
      <c r="P305" s="1">
        <v>9.0</v>
      </c>
      <c r="Q305" s="1">
        <v>0.0</v>
      </c>
      <c r="R305" s="1">
        <v>1.3899289E7</v>
      </c>
      <c r="S305" s="1">
        <v>1.3733164E7</v>
      </c>
      <c r="T305" s="1">
        <v>1.3733164E7</v>
      </c>
      <c r="U305" s="1">
        <v>1.3733164E7</v>
      </c>
      <c r="V305" s="1">
        <v>1.3733164E7</v>
      </c>
    </row>
    <row r="306" ht="15.75" customHeight="1">
      <c r="A306" s="1">
        <v>12.0</v>
      </c>
      <c r="B306" s="1" t="s">
        <v>22</v>
      </c>
      <c r="C306" s="1">
        <v>3.0</v>
      </c>
      <c r="D306" s="1">
        <v>8.0</v>
      </c>
      <c r="E306" s="1">
        <v>1.0</v>
      </c>
      <c r="F306" s="1">
        <v>0.0</v>
      </c>
      <c r="G306" s="1">
        <v>24.0</v>
      </c>
      <c r="H306" s="1" t="str">
        <f t="shared" si="4"/>
        <v>E022</v>
      </c>
      <c r="I306" s="1" t="s">
        <v>42</v>
      </c>
      <c r="J306" s="1">
        <v>22.0</v>
      </c>
      <c r="K306" s="2">
        <v>1000.0</v>
      </c>
      <c r="L306" s="1">
        <v>14101.0</v>
      </c>
      <c r="M306" s="1" t="str">
        <f>VLOOKUP(L306,'Catálogos'!$A$2:$B$492,2,0)</f>
        <v>Aportaciones al ISSSTE</v>
      </c>
      <c r="N306" s="1">
        <v>1.0</v>
      </c>
      <c r="O306" s="1">
        <v>1.0</v>
      </c>
      <c r="P306" s="1">
        <v>9.0</v>
      </c>
      <c r="Q306" s="1">
        <v>0.0</v>
      </c>
      <c r="R306" s="1">
        <v>6012308.0</v>
      </c>
      <c r="S306" s="1">
        <v>4737666.0</v>
      </c>
      <c r="T306" s="1">
        <v>4737666.0</v>
      </c>
      <c r="U306" s="1">
        <v>4737666.0</v>
      </c>
      <c r="V306" s="1">
        <v>4737666.0</v>
      </c>
    </row>
    <row r="307" ht="15.75" customHeight="1">
      <c r="A307" s="1">
        <v>12.0</v>
      </c>
      <c r="B307" s="1" t="s">
        <v>22</v>
      </c>
      <c r="C307" s="1">
        <v>3.0</v>
      </c>
      <c r="D307" s="1">
        <v>8.0</v>
      </c>
      <c r="E307" s="1">
        <v>1.0</v>
      </c>
      <c r="F307" s="1">
        <v>0.0</v>
      </c>
      <c r="G307" s="1">
        <v>24.0</v>
      </c>
      <c r="H307" s="1" t="str">
        <f t="shared" si="4"/>
        <v>E022</v>
      </c>
      <c r="I307" s="1" t="s">
        <v>42</v>
      </c>
      <c r="J307" s="1">
        <v>22.0</v>
      </c>
      <c r="K307" s="2">
        <v>1000.0</v>
      </c>
      <c r="L307" s="1">
        <v>14105.0</v>
      </c>
      <c r="M307" s="1" t="str">
        <f>VLOOKUP(L307,'Catálogos'!$A$2:$B$492,2,0)</f>
        <v>Aportaciones al seguro de cesantía en edad avanzada y vejez</v>
      </c>
      <c r="N307" s="1">
        <v>1.0</v>
      </c>
      <c r="O307" s="1">
        <v>1.0</v>
      </c>
      <c r="P307" s="1">
        <v>9.0</v>
      </c>
      <c r="Q307" s="1">
        <v>0.0</v>
      </c>
      <c r="R307" s="1">
        <v>2020554.0</v>
      </c>
      <c r="S307" s="1">
        <v>2020554.0</v>
      </c>
      <c r="T307" s="1">
        <v>2020554.0</v>
      </c>
      <c r="U307" s="1">
        <v>2020554.0</v>
      </c>
      <c r="V307" s="1">
        <v>2020554.0</v>
      </c>
    </row>
    <row r="308" ht="15.75" customHeight="1">
      <c r="A308" s="1">
        <v>12.0</v>
      </c>
      <c r="B308" s="1" t="s">
        <v>22</v>
      </c>
      <c r="C308" s="1">
        <v>3.0</v>
      </c>
      <c r="D308" s="1">
        <v>8.0</v>
      </c>
      <c r="E308" s="1">
        <v>1.0</v>
      </c>
      <c r="F308" s="1">
        <v>0.0</v>
      </c>
      <c r="G308" s="1">
        <v>24.0</v>
      </c>
      <c r="H308" s="1" t="str">
        <f t="shared" si="4"/>
        <v>E022</v>
      </c>
      <c r="I308" s="1" t="s">
        <v>42</v>
      </c>
      <c r="J308" s="1">
        <v>22.0</v>
      </c>
      <c r="K308" s="2">
        <v>1000.0</v>
      </c>
      <c r="L308" s="1">
        <v>14201.0</v>
      </c>
      <c r="M308" s="1" t="str">
        <f>VLOOKUP(L308,'Catálogos'!$A$2:$B$492,2,0)</f>
        <v>Aportaciones al FOVISSSTE</v>
      </c>
      <c r="N308" s="1">
        <v>1.0</v>
      </c>
      <c r="O308" s="1">
        <v>1.0</v>
      </c>
      <c r="P308" s="1">
        <v>9.0</v>
      </c>
      <c r="Q308" s="1">
        <v>0.0</v>
      </c>
      <c r="R308" s="1">
        <v>1978275.0</v>
      </c>
      <c r="S308" s="1">
        <v>1978275.0</v>
      </c>
      <c r="T308" s="1">
        <v>1978275.0</v>
      </c>
      <c r="U308" s="1">
        <v>1978275.0</v>
      </c>
      <c r="V308" s="1">
        <v>1978275.0</v>
      </c>
    </row>
    <row r="309" ht="15.75" customHeight="1">
      <c r="A309" s="1">
        <v>12.0</v>
      </c>
      <c r="B309" s="1" t="s">
        <v>22</v>
      </c>
      <c r="C309" s="1">
        <v>3.0</v>
      </c>
      <c r="D309" s="1">
        <v>8.0</v>
      </c>
      <c r="E309" s="1">
        <v>1.0</v>
      </c>
      <c r="F309" s="1">
        <v>0.0</v>
      </c>
      <c r="G309" s="1">
        <v>24.0</v>
      </c>
      <c r="H309" s="1" t="str">
        <f t="shared" si="4"/>
        <v>E022</v>
      </c>
      <c r="I309" s="1" t="s">
        <v>42</v>
      </c>
      <c r="J309" s="1">
        <v>22.0</v>
      </c>
      <c r="K309" s="2">
        <v>1000.0</v>
      </c>
      <c r="L309" s="1">
        <v>14301.0</v>
      </c>
      <c r="M309" s="1" t="str">
        <f>VLOOKUP(L309,'Catálogos'!$A$2:$B$492,2,0)</f>
        <v>Aportaciones al Sistema de Ahorro para el Retiro</v>
      </c>
      <c r="N309" s="1">
        <v>1.0</v>
      </c>
      <c r="O309" s="1">
        <v>1.0</v>
      </c>
      <c r="P309" s="1">
        <v>9.0</v>
      </c>
      <c r="Q309" s="1">
        <v>0.0</v>
      </c>
      <c r="R309" s="1">
        <v>791309.0</v>
      </c>
      <c r="S309" s="1">
        <v>791309.0</v>
      </c>
      <c r="T309" s="1">
        <v>791309.0</v>
      </c>
      <c r="U309" s="1">
        <v>791309.0</v>
      </c>
      <c r="V309" s="1">
        <v>791309.0</v>
      </c>
    </row>
    <row r="310" ht="15.75" customHeight="1">
      <c r="A310" s="1">
        <v>12.0</v>
      </c>
      <c r="B310" s="1" t="s">
        <v>22</v>
      </c>
      <c r="C310" s="1">
        <v>3.0</v>
      </c>
      <c r="D310" s="1">
        <v>8.0</v>
      </c>
      <c r="E310" s="1">
        <v>1.0</v>
      </c>
      <c r="F310" s="1">
        <v>0.0</v>
      </c>
      <c r="G310" s="1">
        <v>24.0</v>
      </c>
      <c r="H310" s="1" t="str">
        <f t="shared" si="4"/>
        <v>E022</v>
      </c>
      <c r="I310" s="1" t="s">
        <v>42</v>
      </c>
      <c r="J310" s="1">
        <v>22.0</v>
      </c>
      <c r="K310" s="2">
        <v>1000.0</v>
      </c>
      <c r="L310" s="1">
        <v>14302.0</v>
      </c>
      <c r="M310" s="1" t="str">
        <f>VLOOKUP(L310,'Catálogos'!$A$2:$B$492,2,0)</f>
        <v>Depósitos para el ahorro solidario</v>
      </c>
      <c r="N310" s="1">
        <v>1.0</v>
      </c>
      <c r="O310" s="1">
        <v>1.0</v>
      </c>
      <c r="P310" s="1">
        <v>9.0</v>
      </c>
      <c r="Q310" s="1">
        <v>0.0</v>
      </c>
      <c r="R310" s="1">
        <v>558232.0</v>
      </c>
      <c r="S310" s="1">
        <v>558232.0</v>
      </c>
      <c r="T310" s="1">
        <v>558232.0</v>
      </c>
      <c r="U310" s="1">
        <v>558232.0</v>
      </c>
      <c r="V310" s="1">
        <v>558232.0</v>
      </c>
    </row>
    <row r="311" ht="15.75" customHeight="1">
      <c r="A311" s="1">
        <v>12.0</v>
      </c>
      <c r="B311" s="1" t="s">
        <v>22</v>
      </c>
      <c r="C311" s="1">
        <v>3.0</v>
      </c>
      <c r="D311" s="1">
        <v>8.0</v>
      </c>
      <c r="E311" s="1">
        <v>1.0</v>
      </c>
      <c r="F311" s="1">
        <v>0.0</v>
      </c>
      <c r="G311" s="1">
        <v>24.0</v>
      </c>
      <c r="H311" s="1" t="str">
        <f t="shared" si="4"/>
        <v>E022</v>
      </c>
      <c r="I311" s="1" t="s">
        <v>42</v>
      </c>
      <c r="J311" s="1">
        <v>22.0</v>
      </c>
      <c r="K311" s="2">
        <v>1000.0</v>
      </c>
      <c r="L311" s="1">
        <v>14401.0</v>
      </c>
      <c r="M311" s="1" t="str">
        <f>VLOOKUP(L311,'Catálogos'!$A$2:$B$492,2,0)</f>
        <v>Cuotas para el seguro de vida del personal civil</v>
      </c>
      <c r="N311" s="1">
        <v>1.0</v>
      </c>
      <c r="O311" s="1">
        <v>1.0</v>
      </c>
      <c r="P311" s="1">
        <v>9.0</v>
      </c>
      <c r="Q311" s="1">
        <v>0.0</v>
      </c>
      <c r="R311" s="1">
        <v>641080.0</v>
      </c>
      <c r="S311" s="1">
        <v>641080.0</v>
      </c>
      <c r="T311" s="1">
        <v>641080.0</v>
      </c>
      <c r="U311" s="1">
        <v>641080.0</v>
      </c>
      <c r="V311" s="1">
        <v>641080.0</v>
      </c>
    </row>
    <row r="312" ht="15.75" customHeight="1">
      <c r="A312" s="1">
        <v>12.0</v>
      </c>
      <c r="B312" s="1" t="s">
        <v>22</v>
      </c>
      <c r="C312" s="1">
        <v>3.0</v>
      </c>
      <c r="D312" s="1">
        <v>8.0</v>
      </c>
      <c r="E312" s="1">
        <v>1.0</v>
      </c>
      <c r="F312" s="1">
        <v>0.0</v>
      </c>
      <c r="G312" s="1">
        <v>24.0</v>
      </c>
      <c r="H312" s="1" t="str">
        <f t="shared" si="4"/>
        <v>E022</v>
      </c>
      <c r="I312" s="1" t="s">
        <v>42</v>
      </c>
      <c r="J312" s="1">
        <v>22.0</v>
      </c>
      <c r="K312" s="2">
        <v>1000.0</v>
      </c>
      <c r="L312" s="1">
        <v>14405.0</v>
      </c>
      <c r="M312" s="1" t="str">
        <f>VLOOKUP(L312,'Catálogos'!$A$2:$B$492,2,0)</f>
        <v>Cuotas para el seguro colectivo de retiro</v>
      </c>
      <c r="N312" s="1">
        <v>1.0</v>
      </c>
      <c r="O312" s="1">
        <v>1.0</v>
      </c>
      <c r="P312" s="1">
        <v>9.0</v>
      </c>
      <c r="Q312" s="1">
        <v>0.0</v>
      </c>
      <c r="R312" s="1">
        <v>19519.0</v>
      </c>
      <c r="S312" s="1">
        <v>24444.0</v>
      </c>
      <c r="T312" s="1">
        <v>24444.0</v>
      </c>
      <c r="U312" s="1">
        <v>24444.0</v>
      </c>
      <c r="V312" s="1">
        <v>24444.0</v>
      </c>
    </row>
    <row r="313" ht="15.75" customHeight="1">
      <c r="A313" s="1">
        <v>12.0</v>
      </c>
      <c r="B313" s="1" t="s">
        <v>22</v>
      </c>
      <c r="C313" s="1">
        <v>3.0</v>
      </c>
      <c r="D313" s="1">
        <v>8.0</v>
      </c>
      <c r="E313" s="1">
        <v>1.0</v>
      </c>
      <c r="F313" s="1">
        <v>0.0</v>
      </c>
      <c r="G313" s="1">
        <v>24.0</v>
      </c>
      <c r="H313" s="1" t="str">
        <f t="shared" si="4"/>
        <v>E022</v>
      </c>
      <c r="I313" s="1" t="s">
        <v>42</v>
      </c>
      <c r="J313" s="1">
        <v>22.0</v>
      </c>
      <c r="K313" s="2">
        <v>1000.0</v>
      </c>
      <c r="L313" s="1">
        <v>14406.0</v>
      </c>
      <c r="M313" s="1" t="str">
        <f>VLOOKUP(L313,'Catálogos'!$A$2:$B$492,2,0)</f>
        <v>Seguro de responsabilidad civil, asistencia legal y otros seguros</v>
      </c>
      <c r="N313" s="1">
        <v>1.0</v>
      </c>
      <c r="O313" s="1">
        <v>1.0</v>
      </c>
      <c r="P313" s="1">
        <v>9.0</v>
      </c>
      <c r="Q313" s="1">
        <v>0.0</v>
      </c>
      <c r="R313" s="1">
        <v>19210.0</v>
      </c>
      <c r="S313" s="1">
        <v>32796.0</v>
      </c>
      <c r="T313" s="1">
        <v>32796.0</v>
      </c>
      <c r="U313" s="1">
        <v>32796.0</v>
      </c>
      <c r="V313" s="1">
        <v>32796.0</v>
      </c>
    </row>
    <row r="314" ht="15.75" customHeight="1">
      <c r="A314" s="1">
        <v>12.0</v>
      </c>
      <c r="B314" s="1" t="s">
        <v>22</v>
      </c>
      <c r="C314" s="1">
        <v>3.0</v>
      </c>
      <c r="D314" s="1">
        <v>8.0</v>
      </c>
      <c r="E314" s="1">
        <v>1.0</v>
      </c>
      <c r="F314" s="1">
        <v>0.0</v>
      </c>
      <c r="G314" s="1">
        <v>24.0</v>
      </c>
      <c r="H314" s="1" t="str">
        <f t="shared" si="4"/>
        <v>E022</v>
      </c>
      <c r="I314" s="1" t="s">
        <v>42</v>
      </c>
      <c r="J314" s="1">
        <v>22.0</v>
      </c>
      <c r="K314" s="2">
        <v>1000.0</v>
      </c>
      <c r="L314" s="1">
        <v>15401.0</v>
      </c>
      <c r="M314" s="1" t="str">
        <f>VLOOKUP(L314,'Catálogos'!$A$2:$B$492,2,0)</f>
        <v>Prestaciones establecidas por condiciones generales de trabajo o contratos colectivos de trabajo</v>
      </c>
      <c r="N314" s="1">
        <v>1.0</v>
      </c>
      <c r="O314" s="1">
        <v>1.0</v>
      </c>
      <c r="P314" s="1">
        <v>9.0</v>
      </c>
      <c r="Q314" s="1">
        <v>0.0</v>
      </c>
      <c r="R314" s="1">
        <v>1358094.0</v>
      </c>
      <c r="S314" s="1">
        <v>1409990.0</v>
      </c>
      <c r="T314" s="1">
        <v>1409990.0</v>
      </c>
      <c r="U314" s="1">
        <v>1409990.0</v>
      </c>
      <c r="V314" s="1">
        <v>1409990.0</v>
      </c>
    </row>
    <row r="315" ht="15.75" customHeight="1">
      <c r="A315" s="1">
        <v>12.0</v>
      </c>
      <c r="B315" s="1" t="s">
        <v>22</v>
      </c>
      <c r="C315" s="1">
        <v>3.0</v>
      </c>
      <c r="D315" s="1">
        <v>8.0</v>
      </c>
      <c r="E315" s="1">
        <v>1.0</v>
      </c>
      <c r="F315" s="1">
        <v>0.0</v>
      </c>
      <c r="G315" s="1">
        <v>24.0</v>
      </c>
      <c r="H315" s="1" t="str">
        <f t="shared" si="4"/>
        <v>E022</v>
      </c>
      <c r="I315" s="1" t="s">
        <v>42</v>
      </c>
      <c r="J315" s="1">
        <v>22.0</v>
      </c>
      <c r="K315" s="2">
        <v>1000.0</v>
      </c>
      <c r="L315" s="1">
        <v>15402.0</v>
      </c>
      <c r="M315" s="1" t="str">
        <f>VLOOKUP(L315,'Catálogos'!$A$2:$B$492,2,0)</f>
        <v>Compensación garantizada</v>
      </c>
      <c r="N315" s="1">
        <v>1.0</v>
      </c>
      <c r="O315" s="1">
        <v>1.0</v>
      </c>
      <c r="P315" s="1">
        <v>9.0</v>
      </c>
      <c r="Q315" s="1">
        <v>0.0</v>
      </c>
      <c r="R315" s="1">
        <v>1640290.0</v>
      </c>
      <c r="S315" s="1">
        <v>1640290.0</v>
      </c>
      <c r="T315" s="1">
        <v>1640290.0</v>
      </c>
      <c r="U315" s="1">
        <v>1640290.0</v>
      </c>
      <c r="V315" s="1">
        <v>1640290.0</v>
      </c>
    </row>
    <row r="316" ht="15.75" customHeight="1">
      <c r="A316" s="1">
        <v>12.0</v>
      </c>
      <c r="B316" s="1" t="s">
        <v>22</v>
      </c>
      <c r="C316" s="1">
        <v>3.0</v>
      </c>
      <c r="D316" s="1">
        <v>8.0</v>
      </c>
      <c r="E316" s="1">
        <v>1.0</v>
      </c>
      <c r="F316" s="1">
        <v>0.0</v>
      </c>
      <c r="G316" s="1">
        <v>24.0</v>
      </c>
      <c r="H316" s="1" t="str">
        <f t="shared" si="4"/>
        <v>E022</v>
      </c>
      <c r="I316" s="1" t="s">
        <v>42</v>
      </c>
      <c r="J316" s="1">
        <v>22.0</v>
      </c>
      <c r="K316" s="2">
        <v>1000.0</v>
      </c>
      <c r="L316" s="1">
        <v>15403.0</v>
      </c>
      <c r="M316" s="1" t="str">
        <f>VLOOKUP(L316,'Catálogos'!$A$2:$B$492,2,0)</f>
        <v>Asignaciones adicionales al sueldo</v>
      </c>
      <c r="N316" s="1">
        <v>1.0</v>
      </c>
      <c r="O316" s="1">
        <v>1.0</v>
      </c>
      <c r="P316" s="1">
        <v>9.0</v>
      </c>
      <c r="Q316" s="1">
        <v>0.0</v>
      </c>
      <c r="R316" s="1">
        <v>7341159.0</v>
      </c>
      <c r="S316" s="1">
        <v>7071088.0</v>
      </c>
      <c r="T316" s="1">
        <v>7071088.0</v>
      </c>
      <c r="U316" s="1">
        <v>7071088.0</v>
      </c>
      <c r="V316" s="1">
        <v>7071088.0</v>
      </c>
    </row>
    <row r="317" ht="15.75" customHeight="1">
      <c r="A317" s="1">
        <v>12.0</v>
      </c>
      <c r="B317" s="1" t="s">
        <v>22</v>
      </c>
      <c r="C317" s="1">
        <v>3.0</v>
      </c>
      <c r="D317" s="1">
        <v>8.0</v>
      </c>
      <c r="E317" s="1">
        <v>1.0</v>
      </c>
      <c r="F317" s="1">
        <v>0.0</v>
      </c>
      <c r="G317" s="1">
        <v>24.0</v>
      </c>
      <c r="H317" s="1" t="str">
        <f t="shared" si="4"/>
        <v>E022</v>
      </c>
      <c r="I317" s="1" t="s">
        <v>42</v>
      </c>
      <c r="J317" s="1">
        <v>22.0</v>
      </c>
      <c r="K317" s="2">
        <v>1000.0</v>
      </c>
      <c r="L317" s="1">
        <v>15901.0</v>
      </c>
      <c r="M317" s="1" t="str">
        <f>VLOOKUP(L317,'Catálogos'!$A$2:$B$492,2,0)</f>
        <v>Otras prestaciones</v>
      </c>
      <c r="N317" s="1">
        <v>1.0</v>
      </c>
      <c r="O317" s="1">
        <v>1.0</v>
      </c>
      <c r="P317" s="1">
        <v>9.0</v>
      </c>
      <c r="Q317" s="1">
        <v>0.0</v>
      </c>
      <c r="R317" s="1">
        <v>2.1610763E7</v>
      </c>
      <c r="S317" s="1">
        <v>2.3301659E7</v>
      </c>
      <c r="T317" s="1">
        <v>2.3301659E7</v>
      </c>
      <c r="U317" s="1">
        <v>2.3301659E7</v>
      </c>
      <c r="V317" s="1">
        <v>2.3301659E7</v>
      </c>
    </row>
    <row r="318" ht="15.75" customHeight="1">
      <c r="A318" s="1">
        <v>12.0</v>
      </c>
      <c r="B318" s="1" t="s">
        <v>22</v>
      </c>
      <c r="C318" s="1">
        <v>3.0</v>
      </c>
      <c r="D318" s="1">
        <v>8.0</v>
      </c>
      <c r="E318" s="1">
        <v>1.0</v>
      </c>
      <c r="F318" s="1">
        <v>0.0</v>
      </c>
      <c r="G318" s="1">
        <v>24.0</v>
      </c>
      <c r="H318" s="1" t="str">
        <f t="shared" si="4"/>
        <v>E022</v>
      </c>
      <c r="I318" s="1" t="s">
        <v>42</v>
      </c>
      <c r="J318" s="1">
        <v>22.0</v>
      </c>
      <c r="K318" s="2">
        <v>1000.0</v>
      </c>
      <c r="L318" s="1">
        <v>17102.0</v>
      </c>
      <c r="M318" s="1" t="str">
        <f>VLOOKUP(L318,'Catálogos'!$A$2:$B$492,2,0)</f>
        <v>Estímulos al personal operativo</v>
      </c>
      <c r="N318" s="1">
        <v>1.0</v>
      </c>
      <c r="O318" s="1">
        <v>1.0</v>
      </c>
      <c r="P318" s="1">
        <v>9.0</v>
      </c>
      <c r="Q318" s="1">
        <v>0.0</v>
      </c>
      <c r="R318" s="1">
        <v>3273869.0</v>
      </c>
      <c r="S318" s="1">
        <v>5021150.0</v>
      </c>
      <c r="T318" s="1">
        <v>5021150.0</v>
      </c>
      <c r="U318" s="1">
        <v>5021150.0</v>
      </c>
      <c r="V318" s="1">
        <v>5021150.0</v>
      </c>
    </row>
    <row r="319" ht="15.75" customHeight="1">
      <c r="A319" s="1">
        <v>12.0</v>
      </c>
      <c r="B319" s="1" t="s">
        <v>22</v>
      </c>
      <c r="C319" s="1">
        <v>3.0</v>
      </c>
      <c r="D319" s="1">
        <v>8.0</v>
      </c>
      <c r="E319" s="1">
        <v>1.0</v>
      </c>
      <c r="F319" s="1">
        <v>0.0</v>
      </c>
      <c r="G319" s="1">
        <v>24.0</v>
      </c>
      <c r="H319" s="1" t="str">
        <f t="shared" si="4"/>
        <v>E022</v>
      </c>
      <c r="I319" s="1" t="s">
        <v>42</v>
      </c>
      <c r="J319" s="1">
        <v>22.0</v>
      </c>
      <c r="K319" s="2">
        <v>2000.0</v>
      </c>
      <c r="L319" s="1">
        <v>21101.0</v>
      </c>
      <c r="M319" s="1" t="str">
        <f>VLOOKUP(L319,'Catálogos'!$A$2:$B$492,2,0)</f>
        <v>Materiales y útiles de oficina</v>
      </c>
      <c r="N319" s="1">
        <v>1.0</v>
      </c>
      <c r="O319" s="1">
        <v>4.0</v>
      </c>
      <c r="P319" s="1">
        <v>9.0</v>
      </c>
      <c r="Q319" s="1">
        <v>0.0</v>
      </c>
      <c r="R319" s="1">
        <v>1247.0</v>
      </c>
      <c r="S319" s="1">
        <v>48846.0</v>
      </c>
      <c r="T319" s="1">
        <v>21299.0</v>
      </c>
      <c r="U319" s="1">
        <v>21299.0</v>
      </c>
      <c r="V319" s="1">
        <v>21299.0</v>
      </c>
    </row>
    <row r="320" ht="15.75" customHeight="1">
      <c r="A320" s="1">
        <v>12.0</v>
      </c>
      <c r="B320" s="1" t="s">
        <v>22</v>
      </c>
      <c r="C320" s="1">
        <v>3.0</v>
      </c>
      <c r="D320" s="1">
        <v>8.0</v>
      </c>
      <c r="E320" s="1">
        <v>1.0</v>
      </c>
      <c r="F320" s="1">
        <v>0.0</v>
      </c>
      <c r="G320" s="1">
        <v>24.0</v>
      </c>
      <c r="H320" s="1" t="str">
        <f t="shared" si="4"/>
        <v>E022</v>
      </c>
      <c r="I320" s="1" t="s">
        <v>42</v>
      </c>
      <c r="J320" s="1">
        <v>22.0</v>
      </c>
      <c r="K320" s="2">
        <v>2000.0</v>
      </c>
      <c r="L320" s="1">
        <v>21401.0</v>
      </c>
      <c r="M320" s="1" t="str">
        <f>VLOOKUP(L320,'Catálogos'!$A$2:$B$492,2,0)</f>
        <v>Materiales y útiles consumibles para el procesamiento en equipos y bienes informáticos</v>
      </c>
      <c r="N320" s="1">
        <v>1.0</v>
      </c>
      <c r="O320" s="1">
        <v>1.0</v>
      </c>
      <c r="P320" s="1">
        <v>9.0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</row>
    <row r="321" ht="15.75" customHeight="1">
      <c r="A321" s="1">
        <v>12.0</v>
      </c>
      <c r="B321" s="1" t="s">
        <v>22</v>
      </c>
      <c r="C321" s="1">
        <v>3.0</v>
      </c>
      <c r="D321" s="1">
        <v>8.0</v>
      </c>
      <c r="E321" s="1">
        <v>1.0</v>
      </c>
      <c r="F321" s="1">
        <v>0.0</v>
      </c>
      <c r="G321" s="1">
        <v>24.0</v>
      </c>
      <c r="H321" s="1" t="str">
        <f t="shared" si="4"/>
        <v>E022</v>
      </c>
      <c r="I321" s="1" t="s">
        <v>42</v>
      </c>
      <c r="J321" s="1">
        <v>22.0</v>
      </c>
      <c r="K321" s="2">
        <v>2000.0</v>
      </c>
      <c r="L321" s="1">
        <v>21502.0</v>
      </c>
      <c r="M321" s="1" t="str">
        <f>VLOOKUP(L321,'Catálogos'!$A$2:$B$492,2,0)</f>
        <v>Material para información en actividades de investigación científica y tecnológica</v>
      </c>
      <c r="N321" s="1">
        <v>1.0</v>
      </c>
      <c r="O321" s="1">
        <v>1.0</v>
      </c>
      <c r="P321" s="1">
        <v>9.0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</row>
    <row r="322" ht="15.75" customHeight="1">
      <c r="A322" s="1">
        <v>12.0</v>
      </c>
      <c r="B322" s="1" t="s">
        <v>22</v>
      </c>
      <c r="C322" s="1">
        <v>3.0</v>
      </c>
      <c r="D322" s="1">
        <v>8.0</v>
      </c>
      <c r="E322" s="1">
        <v>1.0</v>
      </c>
      <c r="F322" s="1">
        <v>0.0</v>
      </c>
      <c r="G322" s="1">
        <v>24.0</v>
      </c>
      <c r="H322" s="1" t="str">
        <f t="shared" si="4"/>
        <v>E022</v>
      </c>
      <c r="I322" s="1" t="s">
        <v>42</v>
      </c>
      <c r="J322" s="1">
        <v>22.0</v>
      </c>
      <c r="K322" s="2">
        <v>2000.0</v>
      </c>
      <c r="L322" s="1">
        <v>21502.0</v>
      </c>
      <c r="M322" s="1" t="str">
        <f>VLOOKUP(L322,'Catálogos'!$A$2:$B$492,2,0)</f>
        <v>Material para información en actividades de investigación científica y tecnológica</v>
      </c>
      <c r="N322" s="1">
        <v>1.0</v>
      </c>
      <c r="O322" s="1">
        <v>4.0</v>
      </c>
      <c r="P322" s="1">
        <v>9.0</v>
      </c>
      <c r="Q322" s="1">
        <v>0.0</v>
      </c>
      <c r="R322" s="1">
        <v>2704.0</v>
      </c>
      <c r="S322" s="1">
        <v>2704.0</v>
      </c>
      <c r="T322" s="1">
        <v>0.0</v>
      </c>
      <c r="U322" s="1">
        <v>0.0</v>
      </c>
      <c r="V322" s="1">
        <v>0.0</v>
      </c>
    </row>
    <row r="323" ht="15.75" customHeight="1">
      <c r="A323" s="1">
        <v>12.0</v>
      </c>
      <c r="B323" s="1" t="s">
        <v>22</v>
      </c>
      <c r="C323" s="1">
        <v>3.0</v>
      </c>
      <c r="D323" s="1">
        <v>8.0</v>
      </c>
      <c r="E323" s="1">
        <v>1.0</v>
      </c>
      <c r="F323" s="1">
        <v>0.0</v>
      </c>
      <c r="G323" s="1">
        <v>24.0</v>
      </c>
      <c r="H323" s="1" t="str">
        <f t="shared" si="4"/>
        <v>E022</v>
      </c>
      <c r="I323" s="1" t="s">
        <v>42</v>
      </c>
      <c r="J323" s="1">
        <v>22.0</v>
      </c>
      <c r="K323" s="2">
        <v>2000.0</v>
      </c>
      <c r="L323" s="1">
        <v>21601.0</v>
      </c>
      <c r="M323" s="1" t="str">
        <f>VLOOKUP(L323,'Catálogos'!$A$2:$B$492,2,0)</f>
        <v>Material de limpieza</v>
      </c>
      <c r="N323" s="1">
        <v>1.0</v>
      </c>
      <c r="O323" s="1">
        <v>4.0</v>
      </c>
      <c r="P323" s="1">
        <v>9.0</v>
      </c>
      <c r="Q323" s="1">
        <v>0.0</v>
      </c>
      <c r="R323" s="1">
        <v>500.0</v>
      </c>
      <c r="S323" s="1">
        <v>96.0</v>
      </c>
      <c r="T323" s="1">
        <v>0.0</v>
      </c>
      <c r="U323" s="1">
        <v>0.0</v>
      </c>
      <c r="V323" s="1">
        <v>0.0</v>
      </c>
    </row>
    <row r="324" ht="15.75" customHeight="1">
      <c r="A324" s="1">
        <v>12.0</v>
      </c>
      <c r="B324" s="1" t="s">
        <v>22</v>
      </c>
      <c r="C324" s="1">
        <v>3.0</v>
      </c>
      <c r="D324" s="1">
        <v>8.0</v>
      </c>
      <c r="E324" s="1">
        <v>1.0</v>
      </c>
      <c r="F324" s="1">
        <v>0.0</v>
      </c>
      <c r="G324" s="1">
        <v>24.0</v>
      </c>
      <c r="H324" s="1" t="str">
        <f t="shared" si="4"/>
        <v>E022</v>
      </c>
      <c r="I324" s="1" t="s">
        <v>42</v>
      </c>
      <c r="J324" s="1">
        <v>22.0</v>
      </c>
      <c r="K324" s="2">
        <v>2000.0</v>
      </c>
      <c r="L324" s="1">
        <v>22104.0</v>
      </c>
      <c r="M324" s="1" t="str">
        <f>VLOOKUP(L324,'Catálogos'!$A$2:$B$492,2,0)</f>
        <v>Productos alimenticios para el personal en las instalaciones de las dependencias y entidades</v>
      </c>
      <c r="N324" s="1">
        <v>1.0</v>
      </c>
      <c r="O324" s="1">
        <v>4.0</v>
      </c>
      <c r="P324" s="1">
        <v>9.0</v>
      </c>
      <c r="Q324" s="1">
        <v>0.0</v>
      </c>
      <c r="R324" s="1">
        <v>10000.0</v>
      </c>
      <c r="S324" s="1">
        <v>9008.0</v>
      </c>
      <c r="T324" s="1">
        <v>8917.0</v>
      </c>
      <c r="U324" s="1">
        <v>8917.0</v>
      </c>
      <c r="V324" s="1">
        <v>8917.0</v>
      </c>
    </row>
    <row r="325" ht="15.75" customHeight="1">
      <c r="A325" s="1">
        <v>12.0</v>
      </c>
      <c r="B325" s="1" t="s">
        <v>22</v>
      </c>
      <c r="C325" s="1">
        <v>3.0</v>
      </c>
      <c r="D325" s="1">
        <v>8.0</v>
      </c>
      <c r="E325" s="1">
        <v>1.0</v>
      </c>
      <c r="F325" s="1">
        <v>0.0</v>
      </c>
      <c r="G325" s="1">
        <v>24.0</v>
      </c>
      <c r="H325" s="1" t="str">
        <f t="shared" si="4"/>
        <v>E022</v>
      </c>
      <c r="I325" s="1" t="s">
        <v>42</v>
      </c>
      <c r="J325" s="1">
        <v>22.0</v>
      </c>
      <c r="K325" s="2">
        <v>2000.0</v>
      </c>
      <c r="L325" s="1">
        <v>22201.0</v>
      </c>
      <c r="M325" s="1" t="str">
        <f>VLOOKUP(L325,'Catálogos'!$A$2:$B$492,2,0)</f>
        <v>Productos alimenticios para animales</v>
      </c>
      <c r="N325" s="1">
        <v>1.0</v>
      </c>
      <c r="O325" s="1">
        <v>1.0</v>
      </c>
      <c r="P325" s="1">
        <v>9.0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</row>
    <row r="326" ht="15.75" customHeight="1">
      <c r="A326" s="1">
        <v>12.0</v>
      </c>
      <c r="B326" s="1" t="s">
        <v>22</v>
      </c>
      <c r="C326" s="1">
        <v>3.0</v>
      </c>
      <c r="D326" s="1">
        <v>8.0</v>
      </c>
      <c r="E326" s="1">
        <v>1.0</v>
      </c>
      <c r="F326" s="1">
        <v>0.0</v>
      </c>
      <c r="G326" s="1">
        <v>24.0</v>
      </c>
      <c r="H326" s="1" t="str">
        <f t="shared" si="4"/>
        <v>E022</v>
      </c>
      <c r="I326" s="1" t="s">
        <v>42</v>
      </c>
      <c r="J326" s="1">
        <v>22.0</v>
      </c>
      <c r="K326" s="2">
        <v>2000.0</v>
      </c>
      <c r="L326" s="1">
        <v>22201.0</v>
      </c>
      <c r="M326" s="1" t="str">
        <f>VLOOKUP(L326,'Catálogos'!$A$2:$B$492,2,0)</f>
        <v>Productos alimenticios para animales</v>
      </c>
      <c r="N326" s="1">
        <v>1.0</v>
      </c>
      <c r="O326" s="1">
        <v>4.0</v>
      </c>
      <c r="P326" s="1">
        <v>9.0</v>
      </c>
      <c r="Q326" s="1">
        <v>0.0</v>
      </c>
      <c r="R326" s="1">
        <v>300000.0</v>
      </c>
      <c r="S326" s="1">
        <v>55472.0</v>
      </c>
      <c r="T326" s="1">
        <v>10987.0</v>
      </c>
      <c r="U326" s="1">
        <v>10987.0</v>
      </c>
      <c r="V326" s="1">
        <v>10987.0</v>
      </c>
    </row>
    <row r="327" ht="15.75" customHeight="1">
      <c r="A327" s="1">
        <v>12.0</v>
      </c>
      <c r="B327" s="1" t="s">
        <v>22</v>
      </c>
      <c r="C327" s="1">
        <v>3.0</v>
      </c>
      <c r="D327" s="1">
        <v>8.0</v>
      </c>
      <c r="E327" s="1">
        <v>1.0</v>
      </c>
      <c r="F327" s="1">
        <v>0.0</v>
      </c>
      <c r="G327" s="1">
        <v>24.0</v>
      </c>
      <c r="H327" s="1" t="str">
        <f t="shared" si="4"/>
        <v>E022</v>
      </c>
      <c r="I327" s="1" t="s">
        <v>42</v>
      </c>
      <c r="J327" s="1">
        <v>22.0</v>
      </c>
      <c r="K327" s="2">
        <v>2000.0</v>
      </c>
      <c r="L327" s="1">
        <v>24101.0</v>
      </c>
      <c r="M327" s="1" t="str">
        <f>VLOOKUP(L327,'Catálogos'!$A$2:$B$492,2,0)</f>
        <v>Productos minerales no metálicos</v>
      </c>
      <c r="N327" s="1">
        <v>1.0</v>
      </c>
      <c r="O327" s="1">
        <v>4.0</v>
      </c>
      <c r="P327" s="1">
        <v>9.0</v>
      </c>
      <c r="Q327" s="1">
        <v>0.0</v>
      </c>
      <c r="R327" s="1">
        <v>100.0</v>
      </c>
      <c r="S327" s="1">
        <v>100.0</v>
      </c>
      <c r="T327" s="1">
        <v>0.0</v>
      </c>
      <c r="U327" s="1">
        <v>0.0</v>
      </c>
      <c r="V327" s="1">
        <v>0.0</v>
      </c>
    </row>
    <row r="328" ht="15.75" customHeight="1">
      <c r="A328" s="1">
        <v>12.0</v>
      </c>
      <c r="B328" s="1" t="s">
        <v>22</v>
      </c>
      <c r="C328" s="1">
        <v>3.0</v>
      </c>
      <c r="D328" s="1">
        <v>8.0</v>
      </c>
      <c r="E328" s="1">
        <v>1.0</v>
      </c>
      <c r="F328" s="1">
        <v>0.0</v>
      </c>
      <c r="G328" s="1">
        <v>24.0</v>
      </c>
      <c r="H328" s="1" t="str">
        <f t="shared" si="4"/>
        <v>E022</v>
      </c>
      <c r="I328" s="1" t="s">
        <v>42</v>
      </c>
      <c r="J328" s="1">
        <v>22.0</v>
      </c>
      <c r="K328" s="2">
        <v>2000.0</v>
      </c>
      <c r="L328" s="1">
        <v>24201.0</v>
      </c>
      <c r="M328" s="1" t="str">
        <f>VLOOKUP(L328,'Catálogos'!$A$2:$B$492,2,0)</f>
        <v>Cemento y productos de concreto</v>
      </c>
      <c r="N328" s="1">
        <v>1.0</v>
      </c>
      <c r="O328" s="1">
        <v>4.0</v>
      </c>
      <c r="P328" s="1">
        <v>9.0</v>
      </c>
      <c r="Q328" s="1">
        <v>0.0</v>
      </c>
      <c r="R328" s="1">
        <v>0.0</v>
      </c>
      <c r="S328" s="1">
        <v>250.0</v>
      </c>
      <c r="T328" s="1">
        <v>250.0</v>
      </c>
      <c r="U328" s="1">
        <v>250.0</v>
      </c>
      <c r="V328" s="1">
        <v>250.0</v>
      </c>
    </row>
    <row r="329" ht="15.75" customHeight="1">
      <c r="A329" s="1">
        <v>12.0</v>
      </c>
      <c r="B329" s="1" t="s">
        <v>22</v>
      </c>
      <c r="C329" s="1">
        <v>3.0</v>
      </c>
      <c r="D329" s="1">
        <v>8.0</v>
      </c>
      <c r="E329" s="1">
        <v>1.0</v>
      </c>
      <c r="F329" s="1">
        <v>0.0</v>
      </c>
      <c r="G329" s="1">
        <v>24.0</v>
      </c>
      <c r="H329" s="1" t="str">
        <f t="shared" si="4"/>
        <v>E022</v>
      </c>
      <c r="I329" s="1" t="s">
        <v>42</v>
      </c>
      <c r="J329" s="1">
        <v>22.0</v>
      </c>
      <c r="K329" s="2">
        <v>2000.0</v>
      </c>
      <c r="L329" s="1">
        <v>24601.0</v>
      </c>
      <c r="M329" s="1" t="str">
        <f>VLOOKUP(L329,'Catálogos'!$A$2:$B$492,2,0)</f>
        <v>Material eléctrico y electrónico</v>
      </c>
      <c r="N329" s="1">
        <v>1.0</v>
      </c>
      <c r="O329" s="1">
        <v>4.0</v>
      </c>
      <c r="P329" s="1">
        <v>9.0</v>
      </c>
      <c r="Q329" s="1">
        <v>0.0</v>
      </c>
      <c r="R329" s="1">
        <v>20000.0</v>
      </c>
      <c r="S329" s="1">
        <v>32609.0</v>
      </c>
      <c r="T329" s="1">
        <v>25976.0</v>
      </c>
      <c r="U329" s="1">
        <v>25976.0</v>
      </c>
      <c r="V329" s="1">
        <v>25976.0</v>
      </c>
    </row>
    <row r="330" ht="15.75" customHeight="1">
      <c r="A330" s="1">
        <v>12.0</v>
      </c>
      <c r="B330" s="1" t="s">
        <v>22</v>
      </c>
      <c r="C330" s="1">
        <v>3.0</v>
      </c>
      <c r="D330" s="1">
        <v>8.0</v>
      </c>
      <c r="E330" s="1">
        <v>1.0</v>
      </c>
      <c r="F330" s="1">
        <v>0.0</v>
      </c>
      <c r="G330" s="1">
        <v>24.0</v>
      </c>
      <c r="H330" s="1" t="str">
        <f t="shared" si="4"/>
        <v>E022</v>
      </c>
      <c r="I330" s="1" t="s">
        <v>42</v>
      </c>
      <c r="J330" s="1">
        <v>22.0</v>
      </c>
      <c r="K330" s="2">
        <v>2000.0</v>
      </c>
      <c r="L330" s="1">
        <v>24701.0</v>
      </c>
      <c r="M330" s="1" t="str">
        <f>VLOOKUP(L330,'Catálogos'!$A$2:$B$492,2,0)</f>
        <v>Artículos metálicos para la construcción</v>
      </c>
      <c r="N330" s="1">
        <v>1.0</v>
      </c>
      <c r="O330" s="1">
        <v>4.0</v>
      </c>
      <c r="P330" s="1">
        <v>9.0</v>
      </c>
      <c r="Q330" s="1">
        <v>0.0</v>
      </c>
      <c r="R330" s="1">
        <v>5000.0</v>
      </c>
      <c r="S330" s="1">
        <v>4832.0</v>
      </c>
      <c r="T330" s="1">
        <v>4832.0</v>
      </c>
      <c r="U330" s="1">
        <v>4832.0</v>
      </c>
      <c r="V330" s="1">
        <v>4832.0</v>
      </c>
    </row>
    <row r="331" ht="15.75" customHeight="1">
      <c r="A331" s="1">
        <v>12.0</v>
      </c>
      <c r="B331" s="1" t="s">
        <v>22</v>
      </c>
      <c r="C331" s="1">
        <v>3.0</v>
      </c>
      <c r="D331" s="1">
        <v>8.0</v>
      </c>
      <c r="E331" s="1">
        <v>1.0</v>
      </c>
      <c r="F331" s="1">
        <v>0.0</v>
      </c>
      <c r="G331" s="1">
        <v>24.0</v>
      </c>
      <c r="H331" s="1" t="str">
        <f t="shared" si="4"/>
        <v>E022</v>
      </c>
      <c r="I331" s="1" t="s">
        <v>42</v>
      </c>
      <c r="J331" s="1">
        <v>22.0</v>
      </c>
      <c r="K331" s="2">
        <v>2000.0</v>
      </c>
      <c r="L331" s="1">
        <v>24801.0</v>
      </c>
      <c r="M331" s="1" t="str">
        <f>VLOOKUP(L331,'Catálogos'!$A$2:$B$492,2,0)</f>
        <v>Materiales complementarios</v>
      </c>
      <c r="N331" s="1">
        <v>1.0</v>
      </c>
      <c r="O331" s="1">
        <v>4.0</v>
      </c>
      <c r="P331" s="1">
        <v>9.0</v>
      </c>
      <c r="Q331" s="1">
        <v>0.0</v>
      </c>
      <c r="R331" s="1">
        <v>5000.0</v>
      </c>
      <c r="S331" s="1">
        <v>34395.0</v>
      </c>
      <c r="T331" s="1">
        <v>33643.0</v>
      </c>
      <c r="U331" s="1">
        <v>33643.0</v>
      </c>
      <c r="V331" s="1">
        <v>33643.0</v>
      </c>
    </row>
    <row r="332" ht="15.75" customHeight="1">
      <c r="A332" s="1">
        <v>12.0</v>
      </c>
      <c r="B332" s="1" t="s">
        <v>22</v>
      </c>
      <c r="C332" s="1">
        <v>3.0</v>
      </c>
      <c r="D332" s="1">
        <v>8.0</v>
      </c>
      <c r="E332" s="1">
        <v>1.0</v>
      </c>
      <c r="F332" s="1">
        <v>0.0</v>
      </c>
      <c r="G332" s="1">
        <v>24.0</v>
      </c>
      <c r="H332" s="1" t="str">
        <f t="shared" si="4"/>
        <v>E022</v>
      </c>
      <c r="I332" s="1" t="s">
        <v>42</v>
      </c>
      <c r="J332" s="1">
        <v>22.0</v>
      </c>
      <c r="K332" s="2">
        <v>2000.0</v>
      </c>
      <c r="L332" s="1">
        <v>24901.0</v>
      </c>
      <c r="M332" s="1" t="str">
        <f>VLOOKUP(L332,'Catálogos'!$A$2:$B$492,2,0)</f>
        <v>Otros materiales y artículos de construcción y reparación</v>
      </c>
      <c r="N332" s="1">
        <v>1.0</v>
      </c>
      <c r="O332" s="1">
        <v>4.0</v>
      </c>
      <c r="P332" s="1">
        <v>9.0</v>
      </c>
      <c r="Q332" s="1">
        <v>0.0</v>
      </c>
      <c r="R332" s="1">
        <v>10000.0</v>
      </c>
      <c r="S332" s="1">
        <v>36468.0</v>
      </c>
      <c r="T332" s="1">
        <v>35243.0</v>
      </c>
      <c r="U332" s="1">
        <v>35243.0</v>
      </c>
      <c r="V332" s="1">
        <v>35243.0</v>
      </c>
    </row>
    <row r="333" ht="15.75" customHeight="1">
      <c r="A333" s="1">
        <v>12.0</v>
      </c>
      <c r="B333" s="1" t="s">
        <v>22</v>
      </c>
      <c r="C333" s="1">
        <v>3.0</v>
      </c>
      <c r="D333" s="1">
        <v>8.0</v>
      </c>
      <c r="E333" s="1">
        <v>1.0</v>
      </c>
      <c r="F333" s="1">
        <v>0.0</v>
      </c>
      <c r="G333" s="1">
        <v>24.0</v>
      </c>
      <c r="H333" s="1" t="str">
        <f t="shared" si="4"/>
        <v>E022</v>
      </c>
      <c r="I333" s="1" t="s">
        <v>42</v>
      </c>
      <c r="J333" s="1">
        <v>22.0</v>
      </c>
      <c r="K333" s="2">
        <v>2000.0</v>
      </c>
      <c r="L333" s="1">
        <v>25101.0</v>
      </c>
      <c r="M333" s="1" t="str">
        <f>VLOOKUP(L333,'Catálogos'!$A$2:$B$492,2,0)</f>
        <v>Productos químicos básicos</v>
      </c>
      <c r="N333" s="1">
        <v>1.0</v>
      </c>
      <c r="O333" s="1">
        <v>1.0</v>
      </c>
      <c r="P333" s="1">
        <v>9.0</v>
      </c>
      <c r="Q333" s="1">
        <v>0.0</v>
      </c>
      <c r="R333" s="1">
        <v>2267870.0</v>
      </c>
      <c r="S333" s="1">
        <v>2395587.0</v>
      </c>
      <c r="T333" s="1">
        <v>2395587.0</v>
      </c>
      <c r="U333" s="1">
        <v>2395587.0</v>
      </c>
      <c r="V333" s="1">
        <v>2395587.0</v>
      </c>
    </row>
    <row r="334" ht="15.75" customHeight="1">
      <c r="A334" s="1">
        <v>12.0</v>
      </c>
      <c r="B334" s="1" t="s">
        <v>22</v>
      </c>
      <c r="C334" s="1">
        <v>3.0</v>
      </c>
      <c r="D334" s="1">
        <v>8.0</v>
      </c>
      <c r="E334" s="1">
        <v>1.0</v>
      </c>
      <c r="F334" s="1">
        <v>0.0</v>
      </c>
      <c r="G334" s="1">
        <v>24.0</v>
      </c>
      <c r="H334" s="1" t="str">
        <f t="shared" si="4"/>
        <v>E022</v>
      </c>
      <c r="I334" s="1" t="s">
        <v>42</v>
      </c>
      <c r="J334" s="1">
        <v>22.0</v>
      </c>
      <c r="K334" s="2">
        <v>2000.0</v>
      </c>
      <c r="L334" s="1">
        <v>25101.0</v>
      </c>
      <c r="M334" s="1" t="str">
        <f>VLOOKUP(L334,'Catálogos'!$A$2:$B$492,2,0)</f>
        <v>Productos químicos básicos</v>
      </c>
      <c r="N334" s="1">
        <v>1.0</v>
      </c>
      <c r="O334" s="1">
        <v>4.0</v>
      </c>
      <c r="P334" s="1">
        <v>9.0</v>
      </c>
      <c r="Q334" s="1">
        <v>0.0</v>
      </c>
      <c r="R334" s="1">
        <v>1300000.0</v>
      </c>
      <c r="S334" s="1">
        <v>1678639.0</v>
      </c>
      <c r="T334" s="1">
        <v>1477021.0</v>
      </c>
      <c r="U334" s="1">
        <v>1477021.0</v>
      </c>
      <c r="V334" s="1">
        <v>1477021.0</v>
      </c>
    </row>
    <row r="335" ht="15.75" customHeight="1">
      <c r="A335" s="1">
        <v>12.0</v>
      </c>
      <c r="B335" s="1" t="s">
        <v>22</v>
      </c>
      <c r="C335" s="1">
        <v>3.0</v>
      </c>
      <c r="D335" s="1">
        <v>8.0</v>
      </c>
      <c r="E335" s="1">
        <v>1.0</v>
      </c>
      <c r="F335" s="1">
        <v>0.0</v>
      </c>
      <c r="G335" s="1">
        <v>24.0</v>
      </c>
      <c r="H335" s="1" t="str">
        <f t="shared" si="4"/>
        <v>E022</v>
      </c>
      <c r="I335" s="1" t="s">
        <v>42</v>
      </c>
      <c r="J335" s="1">
        <v>22.0</v>
      </c>
      <c r="K335" s="2">
        <v>2000.0</v>
      </c>
      <c r="L335" s="1">
        <v>25301.0</v>
      </c>
      <c r="M335" s="1" t="str">
        <f>VLOOKUP(L335,'Catálogos'!$A$2:$B$492,2,0)</f>
        <v>Medicinas y productos farmacéuticos</v>
      </c>
      <c r="N335" s="1">
        <v>1.0</v>
      </c>
      <c r="O335" s="1">
        <v>1.0</v>
      </c>
      <c r="P335" s="1">
        <v>9.0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</row>
    <row r="336" ht="15.75" customHeight="1">
      <c r="A336" s="1">
        <v>12.0</v>
      </c>
      <c r="B336" s="1" t="s">
        <v>22</v>
      </c>
      <c r="C336" s="1">
        <v>3.0</v>
      </c>
      <c r="D336" s="1">
        <v>8.0</v>
      </c>
      <c r="E336" s="1">
        <v>1.0</v>
      </c>
      <c r="F336" s="1">
        <v>0.0</v>
      </c>
      <c r="G336" s="1">
        <v>24.0</v>
      </c>
      <c r="H336" s="1" t="str">
        <f t="shared" si="4"/>
        <v>E022</v>
      </c>
      <c r="I336" s="1" t="s">
        <v>42</v>
      </c>
      <c r="J336" s="1">
        <v>22.0</v>
      </c>
      <c r="K336" s="2">
        <v>2000.0</v>
      </c>
      <c r="L336" s="1">
        <v>25301.0</v>
      </c>
      <c r="M336" s="1" t="str">
        <f>VLOOKUP(L336,'Catálogos'!$A$2:$B$492,2,0)</f>
        <v>Medicinas y productos farmacéuticos</v>
      </c>
      <c r="N336" s="1">
        <v>1.0</v>
      </c>
      <c r="O336" s="1">
        <v>4.0</v>
      </c>
      <c r="P336" s="1">
        <v>9.0</v>
      </c>
      <c r="Q336" s="1">
        <v>0.0</v>
      </c>
      <c r="R336" s="1">
        <v>0.0</v>
      </c>
      <c r="S336" s="1">
        <v>81478.0</v>
      </c>
      <c r="T336" s="1">
        <v>76774.0</v>
      </c>
      <c r="U336" s="1">
        <v>76774.0</v>
      </c>
      <c r="V336" s="1">
        <v>76774.0</v>
      </c>
    </row>
    <row r="337" ht="15.75" customHeight="1">
      <c r="A337" s="1">
        <v>12.0</v>
      </c>
      <c r="B337" s="1" t="s">
        <v>22</v>
      </c>
      <c r="C337" s="1">
        <v>3.0</v>
      </c>
      <c r="D337" s="1">
        <v>8.0</v>
      </c>
      <c r="E337" s="1">
        <v>1.0</v>
      </c>
      <c r="F337" s="1">
        <v>0.0</v>
      </c>
      <c r="G337" s="1">
        <v>24.0</v>
      </c>
      <c r="H337" s="1" t="str">
        <f t="shared" si="4"/>
        <v>E022</v>
      </c>
      <c r="I337" s="1" t="s">
        <v>42</v>
      </c>
      <c r="J337" s="1">
        <v>22.0</v>
      </c>
      <c r="K337" s="2">
        <v>2000.0</v>
      </c>
      <c r="L337" s="1">
        <v>25401.0</v>
      </c>
      <c r="M337" s="1" t="str">
        <f>VLOOKUP(L337,'Catálogos'!$A$2:$B$492,2,0)</f>
        <v>Materiales, accesorios y suministros médicos</v>
      </c>
      <c r="N337" s="1">
        <v>1.0</v>
      </c>
      <c r="O337" s="1">
        <v>1.0</v>
      </c>
      <c r="P337" s="1">
        <v>9.0</v>
      </c>
      <c r="Q337" s="1">
        <v>0.0</v>
      </c>
      <c r="R337" s="1">
        <v>0.0</v>
      </c>
      <c r="S337" s="1">
        <v>757739.0</v>
      </c>
      <c r="T337" s="1">
        <v>757739.0</v>
      </c>
      <c r="U337" s="1">
        <v>757739.0</v>
      </c>
      <c r="V337" s="1">
        <v>757739.0</v>
      </c>
    </row>
    <row r="338" ht="15.75" customHeight="1">
      <c r="A338" s="1">
        <v>12.0</v>
      </c>
      <c r="B338" s="1" t="s">
        <v>22</v>
      </c>
      <c r="C338" s="1">
        <v>3.0</v>
      </c>
      <c r="D338" s="1">
        <v>8.0</v>
      </c>
      <c r="E338" s="1">
        <v>1.0</v>
      </c>
      <c r="F338" s="1">
        <v>0.0</v>
      </c>
      <c r="G338" s="1">
        <v>24.0</v>
      </c>
      <c r="H338" s="1" t="str">
        <f t="shared" si="4"/>
        <v>E022</v>
      </c>
      <c r="I338" s="1" t="s">
        <v>42</v>
      </c>
      <c r="J338" s="1">
        <v>22.0</v>
      </c>
      <c r="K338" s="2">
        <v>2000.0</v>
      </c>
      <c r="L338" s="1">
        <v>25401.0</v>
      </c>
      <c r="M338" s="1" t="str">
        <f>VLOOKUP(L338,'Catálogos'!$A$2:$B$492,2,0)</f>
        <v>Materiales, accesorios y suministros médicos</v>
      </c>
      <c r="N338" s="1">
        <v>1.0</v>
      </c>
      <c r="O338" s="1">
        <v>4.0</v>
      </c>
      <c r="P338" s="1">
        <v>9.0</v>
      </c>
      <c r="Q338" s="1">
        <v>0.0</v>
      </c>
      <c r="R338" s="1">
        <v>11000.0</v>
      </c>
      <c r="S338" s="1">
        <v>5621.0</v>
      </c>
      <c r="T338" s="1">
        <v>5619.0</v>
      </c>
      <c r="U338" s="1">
        <v>5619.0</v>
      </c>
      <c r="V338" s="1">
        <v>5619.0</v>
      </c>
    </row>
    <row r="339" ht="15.75" customHeight="1">
      <c r="A339" s="1">
        <v>12.0</v>
      </c>
      <c r="B339" s="1" t="s">
        <v>22</v>
      </c>
      <c r="C339" s="1">
        <v>3.0</v>
      </c>
      <c r="D339" s="1">
        <v>8.0</v>
      </c>
      <c r="E339" s="1">
        <v>1.0</v>
      </c>
      <c r="F339" s="1">
        <v>0.0</v>
      </c>
      <c r="G339" s="1">
        <v>24.0</v>
      </c>
      <c r="H339" s="1" t="str">
        <f t="shared" si="4"/>
        <v>E022</v>
      </c>
      <c r="I339" s="1" t="s">
        <v>42</v>
      </c>
      <c r="J339" s="1">
        <v>22.0</v>
      </c>
      <c r="K339" s="2">
        <v>2000.0</v>
      </c>
      <c r="L339" s="1">
        <v>25501.0</v>
      </c>
      <c r="M339" s="1" t="str">
        <f>VLOOKUP(L339,'Catálogos'!$A$2:$B$492,2,0)</f>
        <v>Materiales, accesorios y suministros de laboratorio</v>
      </c>
      <c r="N339" s="1">
        <v>1.0</v>
      </c>
      <c r="O339" s="1">
        <v>1.0</v>
      </c>
      <c r="P339" s="1">
        <v>9.0</v>
      </c>
      <c r="Q339" s="1">
        <v>0.0</v>
      </c>
      <c r="R339" s="1">
        <v>1592153.0</v>
      </c>
      <c r="S339" s="1">
        <v>514956.0</v>
      </c>
      <c r="T339" s="1">
        <v>514956.0</v>
      </c>
      <c r="U339" s="1">
        <v>514956.0</v>
      </c>
      <c r="V339" s="1">
        <v>514956.0</v>
      </c>
    </row>
    <row r="340" ht="15.75" customHeight="1">
      <c r="A340" s="1">
        <v>12.0</v>
      </c>
      <c r="B340" s="1" t="s">
        <v>22</v>
      </c>
      <c r="C340" s="1">
        <v>3.0</v>
      </c>
      <c r="D340" s="1">
        <v>8.0</v>
      </c>
      <c r="E340" s="1">
        <v>1.0</v>
      </c>
      <c r="F340" s="1">
        <v>0.0</v>
      </c>
      <c r="G340" s="1">
        <v>24.0</v>
      </c>
      <c r="H340" s="1" t="str">
        <f t="shared" si="4"/>
        <v>E022</v>
      </c>
      <c r="I340" s="1" t="s">
        <v>42</v>
      </c>
      <c r="J340" s="1">
        <v>22.0</v>
      </c>
      <c r="K340" s="2">
        <v>2000.0</v>
      </c>
      <c r="L340" s="1">
        <v>25501.0</v>
      </c>
      <c r="M340" s="1" t="str">
        <f>VLOOKUP(L340,'Catálogos'!$A$2:$B$492,2,0)</f>
        <v>Materiales, accesorios y suministros de laboratorio</v>
      </c>
      <c r="N340" s="1">
        <v>1.0</v>
      </c>
      <c r="O340" s="1">
        <v>4.0</v>
      </c>
      <c r="P340" s="1">
        <v>9.0</v>
      </c>
      <c r="Q340" s="1">
        <v>0.0</v>
      </c>
      <c r="R340" s="1">
        <v>500000.0</v>
      </c>
      <c r="S340" s="1">
        <v>74077.0</v>
      </c>
      <c r="T340" s="1">
        <v>74077.0</v>
      </c>
      <c r="U340" s="1">
        <v>74077.0</v>
      </c>
      <c r="V340" s="1">
        <v>74077.0</v>
      </c>
    </row>
    <row r="341" ht="15.75" customHeight="1">
      <c r="A341" s="1">
        <v>12.0</v>
      </c>
      <c r="B341" s="1" t="s">
        <v>22</v>
      </c>
      <c r="C341" s="1">
        <v>3.0</v>
      </c>
      <c r="D341" s="1">
        <v>8.0</v>
      </c>
      <c r="E341" s="1">
        <v>1.0</v>
      </c>
      <c r="F341" s="1">
        <v>0.0</v>
      </c>
      <c r="G341" s="1">
        <v>24.0</v>
      </c>
      <c r="H341" s="1" t="str">
        <f t="shared" si="4"/>
        <v>E022</v>
      </c>
      <c r="I341" s="1" t="s">
        <v>42</v>
      </c>
      <c r="J341" s="1">
        <v>22.0</v>
      </c>
      <c r="K341" s="2">
        <v>2000.0</v>
      </c>
      <c r="L341" s="1">
        <v>29101.0</v>
      </c>
      <c r="M341" s="1" t="str">
        <f>VLOOKUP(L341,'Catálogos'!$A$2:$B$492,2,0)</f>
        <v>Herramientas menores</v>
      </c>
      <c r="N341" s="1">
        <v>1.0</v>
      </c>
      <c r="O341" s="1">
        <v>1.0</v>
      </c>
      <c r="P341" s="1">
        <v>9.0</v>
      </c>
      <c r="Q341" s="1">
        <v>0.0</v>
      </c>
      <c r="R341" s="1">
        <v>0.0</v>
      </c>
      <c r="S341" s="1">
        <v>237893.0</v>
      </c>
      <c r="T341" s="1">
        <v>237893.0</v>
      </c>
      <c r="U341" s="1">
        <v>237893.0</v>
      </c>
      <c r="V341" s="1">
        <v>237893.0</v>
      </c>
    </row>
    <row r="342" ht="15.75" customHeight="1">
      <c r="A342" s="1">
        <v>12.0</v>
      </c>
      <c r="B342" s="1" t="s">
        <v>22</v>
      </c>
      <c r="C342" s="1">
        <v>3.0</v>
      </c>
      <c r="D342" s="1">
        <v>8.0</v>
      </c>
      <c r="E342" s="1">
        <v>1.0</v>
      </c>
      <c r="F342" s="1">
        <v>0.0</v>
      </c>
      <c r="G342" s="1">
        <v>24.0</v>
      </c>
      <c r="H342" s="1" t="str">
        <f t="shared" si="4"/>
        <v>E022</v>
      </c>
      <c r="I342" s="1" t="s">
        <v>42</v>
      </c>
      <c r="J342" s="1">
        <v>22.0</v>
      </c>
      <c r="K342" s="2">
        <v>2000.0</v>
      </c>
      <c r="L342" s="1">
        <v>29101.0</v>
      </c>
      <c r="M342" s="1" t="str">
        <f>VLOOKUP(L342,'Catálogos'!$A$2:$B$492,2,0)</f>
        <v>Herramientas menores</v>
      </c>
      <c r="N342" s="1">
        <v>1.0</v>
      </c>
      <c r="O342" s="1">
        <v>4.0</v>
      </c>
      <c r="P342" s="1">
        <v>9.0</v>
      </c>
      <c r="Q342" s="1">
        <v>0.0</v>
      </c>
      <c r="R342" s="1">
        <v>300000.0</v>
      </c>
      <c r="S342" s="1">
        <v>7798.0</v>
      </c>
      <c r="T342" s="1">
        <v>7797.0</v>
      </c>
      <c r="U342" s="1">
        <v>7797.0</v>
      </c>
      <c r="V342" s="1">
        <v>7797.0</v>
      </c>
    </row>
    <row r="343" ht="15.75" customHeight="1">
      <c r="A343" s="1">
        <v>12.0</v>
      </c>
      <c r="B343" s="1" t="s">
        <v>22</v>
      </c>
      <c r="C343" s="1">
        <v>3.0</v>
      </c>
      <c r="D343" s="1">
        <v>8.0</v>
      </c>
      <c r="E343" s="1">
        <v>1.0</v>
      </c>
      <c r="F343" s="1">
        <v>0.0</v>
      </c>
      <c r="G343" s="1">
        <v>24.0</v>
      </c>
      <c r="H343" s="1" t="str">
        <f t="shared" si="4"/>
        <v>E022</v>
      </c>
      <c r="I343" s="1" t="s">
        <v>42</v>
      </c>
      <c r="J343" s="1">
        <v>22.0</v>
      </c>
      <c r="K343" s="2">
        <v>2000.0</v>
      </c>
      <c r="L343" s="1">
        <v>29201.0</v>
      </c>
      <c r="M343" s="1" t="str">
        <f>VLOOKUP(L343,'Catálogos'!$A$2:$B$492,2,0)</f>
        <v>Refacciones y accesorios menores de edificios</v>
      </c>
      <c r="N343" s="1">
        <v>1.0</v>
      </c>
      <c r="O343" s="1">
        <v>4.0</v>
      </c>
      <c r="P343" s="1">
        <v>9.0</v>
      </c>
      <c r="Q343" s="1">
        <v>0.0</v>
      </c>
      <c r="R343" s="1">
        <v>3000.0</v>
      </c>
      <c r="S343" s="1">
        <v>4120.0</v>
      </c>
      <c r="T343" s="1">
        <v>4120.0</v>
      </c>
      <c r="U343" s="1">
        <v>4120.0</v>
      </c>
      <c r="V343" s="1">
        <v>4120.0</v>
      </c>
    </row>
    <row r="344" ht="15.75" customHeight="1">
      <c r="A344" s="1">
        <v>12.0</v>
      </c>
      <c r="B344" s="1" t="s">
        <v>22</v>
      </c>
      <c r="C344" s="1">
        <v>3.0</v>
      </c>
      <c r="D344" s="1">
        <v>8.0</v>
      </c>
      <c r="E344" s="1">
        <v>1.0</v>
      </c>
      <c r="F344" s="1">
        <v>0.0</v>
      </c>
      <c r="G344" s="1">
        <v>24.0</v>
      </c>
      <c r="H344" s="1" t="str">
        <f t="shared" si="4"/>
        <v>E022</v>
      </c>
      <c r="I344" s="1" t="s">
        <v>42</v>
      </c>
      <c r="J344" s="1">
        <v>22.0</v>
      </c>
      <c r="K344" s="2">
        <v>2000.0</v>
      </c>
      <c r="L344" s="1">
        <v>29301.0</v>
      </c>
      <c r="M344" s="1" t="str">
        <f>VLOOKUP(L344,'Catálogos'!$A$2:$B$492,2,0)</f>
        <v>Refacciones y accesorios menores de mobiliario y equipo de administración, educacional y recreativo</v>
      </c>
      <c r="N344" s="1">
        <v>1.0</v>
      </c>
      <c r="O344" s="1">
        <v>4.0</v>
      </c>
      <c r="P344" s="1">
        <v>9.0</v>
      </c>
      <c r="Q344" s="1">
        <v>0.0</v>
      </c>
      <c r="R344" s="1">
        <v>300.0</v>
      </c>
      <c r="S344" s="1">
        <v>2280.0</v>
      </c>
      <c r="T344" s="1">
        <v>2280.0</v>
      </c>
      <c r="U344" s="1">
        <v>2280.0</v>
      </c>
      <c r="V344" s="1">
        <v>2280.0</v>
      </c>
    </row>
    <row r="345" ht="15.75" customHeight="1">
      <c r="A345" s="1">
        <v>12.0</v>
      </c>
      <c r="B345" s="1" t="s">
        <v>22</v>
      </c>
      <c r="C345" s="1">
        <v>3.0</v>
      </c>
      <c r="D345" s="1">
        <v>8.0</v>
      </c>
      <c r="E345" s="1">
        <v>1.0</v>
      </c>
      <c r="F345" s="1">
        <v>0.0</v>
      </c>
      <c r="G345" s="1">
        <v>24.0</v>
      </c>
      <c r="H345" s="1" t="str">
        <f t="shared" si="4"/>
        <v>E022</v>
      </c>
      <c r="I345" s="1" t="s">
        <v>42</v>
      </c>
      <c r="J345" s="1">
        <v>22.0</v>
      </c>
      <c r="K345" s="2">
        <v>2000.0</v>
      </c>
      <c r="L345" s="1">
        <v>29501.0</v>
      </c>
      <c r="M345" s="1" t="str">
        <f>VLOOKUP(L345,'Catálogos'!$A$2:$B$492,2,0)</f>
        <v>Refacciones y accesorios menores de equipo e instrumental médico y de laboratorio</v>
      </c>
      <c r="N345" s="1">
        <v>1.0</v>
      </c>
      <c r="O345" s="1">
        <v>4.0</v>
      </c>
      <c r="P345" s="1">
        <v>9.0</v>
      </c>
      <c r="Q345" s="1">
        <v>0.0</v>
      </c>
      <c r="R345" s="1">
        <v>50000.0</v>
      </c>
      <c r="S345" s="1">
        <v>17999.0</v>
      </c>
      <c r="T345" s="1">
        <v>11885.0</v>
      </c>
      <c r="U345" s="1">
        <v>11885.0</v>
      </c>
      <c r="V345" s="1">
        <v>11885.0</v>
      </c>
    </row>
    <row r="346" ht="15.75" customHeight="1">
      <c r="A346" s="1">
        <v>12.0</v>
      </c>
      <c r="B346" s="1" t="s">
        <v>22</v>
      </c>
      <c r="C346" s="1">
        <v>3.0</v>
      </c>
      <c r="D346" s="1">
        <v>8.0</v>
      </c>
      <c r="E346" s="1">
        <v>1.0</v>
      </c>
      <c r="F346" s="1">
        <v>0.0</v>
      </c>
      <c r="G346" s="1">
        <v>24.0</v>
      </c>
      <c r="H346" s="1" t="str">
        <f t="shared" si="4"/>
        <v>E022</v>
      </c>
      <c r="I346" s="1" t="s">
        <v>42</v>
      </c>
      <c r="J346" s="1">
        <v>22.0</v>
      </c>
      <c r="K346" s="2">
        <v>2000.0</v>
      </c>
      <c r="L346" s="1">
        <v>29801.0</v>
      </c>
      <c r="M346" s="1" t="str">
        <f>VLOOKUP(L346,'Catálogos'!$A$2:$B$492,2,0)</f>
        <v>Refacciones y accesorios menores de maquinaria y otros equipos</v>
      </c>
      <c r="N346" s="1">
        <v>1.0</v>
      </c>
      <c r="O346" s="1">
        <v>4.0</v>
      </c>
      <c r="P346" s="1">
        <v>9.0</v>
      </c>
      <c r="Q346" s="1">
        <v>0.0</v>
      </c>
      <c r="R346" s="1">
        <v>0.0</v>
      </c>
      <c r="S346" s="1">
        <v>280.0</v>
      </c>
      <c r="T346" s="1">
        <v>280.0</v>
      </c>
      <c r="U346" s="1">
        <v>280.0</v>
      </c>
      <c r="V346" s="1">
        <v>280.0</v>
      </c>
    </row>
    <row r="347" ht="15.75" customHeight="1">
      <c r="A347" s="1">
        <v>12.0</v>
      </c>
      <c r="B347" s="1" t="s">
        <v>22</v>
      </c>
      <c r="C347" s="1">
        <v>3.0</v>
      </c>
      <c r="D347" s="1">
        <v>8.0</v>
      </c>
      <c r="E347" s="1">
        <v>1.0</v>
      </c>
      <c r="F347" s="1">
        <v>0.0</v>
      </c>
      <c r="G347" s="1">
        <v>24.0</v>
      </c>
      <c r="H347" s="1" t="str">
        <f t="shared" si="4"/>
        <v>E022</v>
      </c>
      <c r="I347" s="1" t="s">
        <v>42</v>
      </c>
      <c r="J347" s="1">
        <v>22.0</v>
      </c>
      <c r="K347" s="2">
        <v>3000.0</v>
      </c>
      <c r="L347" s="1">
        <v>31101.0</v>
      </c>
      <c r="M347" s="1" t="str">
        <f>VLOOKUP(L347,'Catálogos'!$A$2:$B$492,2,0)</f>
        <v>Servicio de energía eléctrica</v>
      </c>
      <c r="N347" s="1">
        <v>1.0</v>
      </c>
      <c r="O347" s="1">
        <v>1.0</v>
      </c>
      <c r="P347" s="1">
        <v>9.0</v>
      </c>
      <c r="Q347" s="1">
        <v>0.0</v>
      </c>
      <c r="R347" s="1">
        <v>2692376.0</v>
      </c>
      <c r="S347" s="1">
        <v>2692376.0</v>
      </c>
      <c r="T347" s="1">
        <v>2692376.0</v>
      </c>
      <c r="U347" s="1">
        <v>2692376.0</v>
      </c>
      <c r="V347" s="1">
        <v>2692376.0</v>
      </c>
    </row>
    <row r="348" ht="15.75" customHeight="1">
      <c r="A348" s="1">
        <v>12.0</v>
      </c>
      <c r="B348" s="1" t="s">
        <v>22</v>
      </c>
      <c r="C348" s="1">
        <v>3.0</v>
      </c>
      <c r="D348" s="1">
        <v>8.0</v>
      </c>
      <c r="E348" s="1">
        <v>1.0</v>
      </c>
      <c r="F348" s="1">
        <v>0.0</v>
      </c>
      <c r="G348" s="1">
        <v>24.0</v>
      </c>
      <c r="H348" s="1" t="str">
        <f t="shared" si="4"/>
        <v>E022</v>
      </c>
      <c r="I348" s="1" t="s">
        <v>42</v>
      </c>
      <c r="J348" s="1">
        <v>22.0</v>
      </c>
      <c r="K348" s="2">
        <v>3000.0</v>
      </c>
      <c r="L348" s="1">
        <v>31101.0</v>
      </c>
      <c r="M348" s="1" t="str">
        <f>VLOOKUP(L348,'Catálogos'!$A$2:$B$492,2,0)</f>
        <v>Servicio de energía eléctrica</v>
      </c>
      <c r="N348" s="1">
        <v>1.0</v>
      </c>
      <c r="O348" s="1">
        <v>4.0</v>
      </c>
      <c r="P348" s="1">
        <v>9.0</v>
      </c>
      <c r="Q348" s="1">
        <v>0.0</v>
      </c>
      <c r="R348" s="1">
        <v>320000.0</v>
      </c>
      <c r="S348" s="1">
        <v>475026.0</v>
      </c>
      <c r="T348" s="1">
        <v>475026.0</v>
      </c>
      <c r="U348" s="1">
        <v>475026.0</v>
      </c>
      <c r="V348" s="1">
        <v>475026.0</v>
      </c>
    </row>
    <row r="349" ht="15.75" customHeight="1">
      <c r="A349" s="1">
        <v>12.0</v>
      </c>
      <c r="B349" s="1" t="s">
        <v>22</v>
      </c>
      <c r="C349" s="1">
        <v>3.0</v>
      </c>
      <c r="D349" s="1">
        <v>8.0</v>
      </c>
      <c r="E349" s="1">
        <v>1.0</v>
      </c>
      <c r="F349" s="1">
        <v>0.0</v>
      </c>
      <c r="G349" s="1">
        <v>24.0</v>
      </c>
      <c r="H349" s="1" t="str">
        <f t="shared" si="4"/>
        <v>E022</v>
      </c>
      <c r="I349" s="1" t="s">
        <v>42</v>
      </c>
      <c r="J349" s="1">
        <v>22.0</v>
      </c>
      <c r="K349" s="2">
        <v>3000.0</v>
      </c>
      <c r="L349" s="1">
        <v>31201.0</v>
      </c>
      <c r="M349" s="1" t="str">
        <f>VLOOKUP(L349,'Catálogos'!$A$2:$B$492,2,0)</f>
        <v>Servicio de gas</v>
      </c>
      <c r="N349" s="1">
        <v>1.0</v>
      </c>
      <c r="O349" s="1">
        <v>1.0</v>
      </c>
      <c r="P349" s="1">
        <v>9.0</v>
      </c>
      <c r="Q349" s="1">
        <v>0.0</v>
      </c>
      <c r="R349" s="1">
        <v>1588405.0</v>
      </c>
      <c r="S349" s="1">
        <v>325360.0</v>
      </c>
      <c r="T349" s="1">
        <v>325360.0</v>
      </c>
      <c r="U349" s="1">
        <v>325360.0</v>
      </c>
      <c r="V349" s="1">
        <v>325360.0</v>
      </c>
    </row>
    <row r="350" ht="15.75" customHeight="1">
      <c r="A350" s="1">
        <v>12.0</v>
      </c>
      <c r="B350" s="1" t="s">
        <v>22</v>
      </c>
      <c r="C350" s="1">
        <v>3.0</v>
      </c>
      <c r="D350" s="1">
        <v>8.0</v>
      </c>
      <c r="E350" s="1">
        <v>1.0</v>
      </c>
      <c r="F350" s="1">
        <v>0.0</v>
      </c>
      <c r="G350" s="1">
        <v>24.0</v>
      </c>
      <c r="H350" s="1" t="str">
        <f t="shared" si="4"/>
        <v>E022</v>
      </c>
      <c r="I350" s="1" t="s">
        <v>42</v>
      </c>
      <c r="J350" s="1">
        <v>22.0</v>
      </c>
      <c r="K350" s="2">
        <v>3000.0</v>
      </c>
      <c r="L350" s="1">
        <v>31201.0</v>
      </c>
      <c r="M350" s="1" t="str">
        <f>VLOOKUP(L350,'Catálogos'!$A$2:$B$492,2,0)</f>
        <v>Servicio de gas</v>
      </c>
      <c r="N350" s="1">
        <v>1.0</v>
      </c>
      <c r="O350" s="1">
        <v>4.0</v>
      </c>
      <c r="P350" s="1">
        <v>9.0</v>
      </c>
      <c r="Q350" s="1">
        <v>0.0</v>
      </c>
      <c r="R350" s="1">
        <v>6000.0</v>
      </c>
      <c r="S350" s="1">
        <v>0.0</v>
      </c>
      <c r="T350" s="1">
        <v>0.0</v>
      </c>
      <c r="U350" s="1">
        <v>0.0</v>
      </c>
      <c r="V350" s="1">
        <v>0.0</v>
      </c>
    </row>
    <row r="351" ht="15.75" customHeight="1">
      <c r="A351" s="1">
        <v>12.0</v>
      </c>
      <c r="B351" s="1" t="s">
        <v>22</v>
      </c>
      <c r="C351" s="1">
        <v>3.0</v>
      </c>
      <c r="D351" s="1">
        <v>8.0</v>
      </c>
      <c r="E351" s="1">
        <v>1.0</v>
      </c>
      <c r="F351" s="1">
        <v>0.0</v>
      </c>
      <c r="G351" s="1">
        <v>24.0</v>
      </c>
      <c r="H351" s="1" t="str">
        <f t="shared" si="4"/>
        <v>E022</v>
      </c>
      <c r="I351" s="1" t="s">
        <v>42</v>
      </c>
      <c r="J351" s="1">
        <v>22.0</v>
      </c>
      <c r="K351" s="2">
        <v>3000.0</v>
      </c>
      <c r="L351" s="1">
        <v>31301.0</v>
      </c>
      <c r="M351" s="1" t="str">
        <f>VLOOKUP(L351,'Catálogos'!$A$2:$B$492,2,0)</f>
        <v>Servicio de agua</v>
      </c>
      <c r="N351" s="1">
        <v>1.0</v>
      </c>
      <c r="O351" s="1">
        <v>1.0</v>
      </c>
      <c r="P351" s="1">
        <v>9.0</v>
      </c>
      <c r="Q351" s="1">
        <v>0.0</v>
      </c>
      <c r="R351" s="1">
        <v>0.0</v>
      </c>
      <c r="S351" s="1">
        <v>748453.0</v>
      </c>
      <c r="T351" s="1">
        <v>748453.0</v>
      </c>
      <c r="U351" s="1">
        <v>748453.0</v>
      </c>
      <c r="V351" s="1">
        <v>748453.0</v>
      </c>
    </row>
    <row r="352" ht="15.75" customHeight="1">
      <c r="A352" s="1">
        <v>12.0</v>
      </c>
      <c r="B352" s="1" t="s">
        <v>22</v>
      </c>
      <c r="C352" s="1">
        <v>3.0</v>
      </c>
      <c r="D352" s="1">
        <v>8.0</v>
      </c>
      <c r="E352" s="1">
        <v>1.0</v>
      </c>
      <c r="F352" s="1">
        <v>0.0</v>
      </c>
      <c r="G352" s="1">
        <v>24.0</v>
      </c>
      <c r="H352" s="1" t="str">
        <f t="shared" si="4"/>
        <v>E022</v>
      </c>
      <c r="I352" s="1" t="s">
        <v>42</v>
      </c>
      <c r="J352" s="1">
        <v>22.0</v>
      </c>
      <c r="K352" s="2">
        <v>3000.0</v>
      </c>
      <c r="L352" s="1">
        <v>31401.0</v>
      </c>
      <c r="M352" s="1" t="str">
        <f>VLOOKUP(L352,'Catálogos'!$A$2:$B$492,2,0)</f>
        <v>Servicio telefónico convencional</v>
      </c>
      <c r="N352" s="1">
        <v>1.0</v>
      </c>
      <c r="O352" s="1">
        <v>1.0</v>
      </c>
      <c r="P352" s="1">
        <v>9.0</v>
      </c>
      <c r="Q352" s="1">
        <v>0.0</v>
      </c>
      <c r="R352" s="1">
        <v>204165.0</v>
      </c>
      <c r="S352" s="1">
        <v>204165.0</v>
      </c>
      <c r="T352" s="1">
        <v>204165.0</v>
      </c>
      <c r="U352" s="1">
        <v>204165.0</v>
      </c>
      <c r="V352" s="1">
        <v>204165.0</v>
      </c>
    </row>
    <row r="353" ht="15.75" customHeight="1">
      <c r="A353" s="1">
        <v>12.0</v>
      </c>
      <c r="B353" s="1" t="s">
        <v>22</v>
      </c>
      <c r="C353" s="1">
        <v>3.0</v>
      </c>
      <c r="D353" s="1">
        <v>8.0</v>
      </c>
      <c r="E353" s="1">
        <v>1.0</v>
      </c>
      <c r="F353" s="1">
        <v>0.0</v>
      </c>
      <c r="G353" s="1">
        <v>24.0</v>
      </c>
      <c r="H353" s="1" t="str">
        <f t="shared" si="4"/>
        <v>E022</v>
      </c>
      <c r="I353" s="1" t="s">
        <v>42</v>
      </c>
      <c r="J353" s="1">
        <v>22.0</v>
      </c>
      <c r="K353" s="2">
        <v>3000.0</v>
      </c>
      <c r="L353" s="1">
        <v>31401.0</v>
      </c>
      <c r="M353" s="1" t="str">
        <f>VLOOKUP(L353,'Catálogos'!$A$2:$B$492,2,0)</f>
        <v>Servicio telefónico convencional</v>
      </c>
      <c r="N353" s="1">
        <v>1.0</v>
      </c>
      <c r="O353" s="1">
        <v>4.0</v>
      </c>
      <c r="P353" s="1">
        <v>9.0</v>
      </c>
      <c r="Q353" s="1">
        <v>0.0</v>
      </c>
      <c r="R353" s="1">
        <v>38717.0</v>
      </c>
      <c r="S353" s="1">
        <v>19358.0</v>
      </c>
      <c r="T353" s="1">
        <v>19358.0</v>
      </c>
      <c r="U353" s="1">
        <v>19358.0</v>
      </c>
      <c r="V353" s="1">
        <v>19358.0</v>
      </c>
    </row>
    <row r="354" ht="15.75" customHeight="1">
      <c r="A354" s="1">
        <v>12.0</v>
      </c>
      <c r="B354" s="1" t="s">
        <v>22</v>
      </c>
      <c r="C354" s="1">
        <v>3.0</v>
      </c>
      <c r="D354" s="1">
        <v>8.0</v>
      </c>
      <c r="E354" s="1">
        <v>1.0</v>
      </c>
      <c r="F354" s="1">
        <v>0.0</v>
      </c>
      <c r="G354" s="1">
        <v>24.0</v>
      </c>
      <c r="H354" s="1" t="str">
        <f t="shared" si="4"/>
        <v>E022</v>
      </c>
      <c r="I354" s="1" t="s">
        <v>42</v>
      </c>
      <c r="J354" s="1">
        <v>22.0</v>
      </c>
      <c r="K354" s="2">
        <v>3000.0</v>
      </c>
      <c r="L354" s="1">
        <v>31701.0</v>
      </c>
      <c r="M354" s="1" t="str">
        <f>VLOOKUP(L354,'Catálogos'!$A$2:$B$492,2,0)</f>
        <v>Servicios de conducción de señales analógicas y digitales</v>
      </c>
      <c r="N354" s="1">
        <v>1.0</v>
      </c>
      <c r="O354" s="1">
        <v>1.0</v>
      </c>
      <c r="P354" s="1">
        <v>9.0</v>
      </c>
      <c r="Q354" s="1">
        <v>0.0</v>
      </c>
      <c r="R354" s="1">
        <v>46810.0</v>
      </c>
      <c r="S354" s="1">
        <v>21210.0</v>
      </c>
      <c r="T354" s="1">
        <v>21210.0</v>
      </c>
      <c r="U354" s="1">
        <v>21210.0</v>
      </c>
      <c r="V354" s="1">
        <v>21210.0</v>
      </c>
    </row>
    <row r="355" ht="15.75" customHeight="1">
      <c r="A355" s="1">
        <v>12.0</v>
      </c>
      <c r="B355" s="1" t="s">
        <v>22</v>
      </c>
      <c r="C355" s="1">
        <v>3.0</v>
      </c>
      <c r="D355" s="1">
        <v>8.0</v>
      </c>
      <c r="E355" s="1">
        <v>1.0</v>
      </c>
      <c r="F355" s="1">
        <v>0.0</v>
      </c>
      <c r="G355" s="1">
        <v>24.0</v>
      </c>
      <c r="H355" s="1" t="str">
        <f t="shared" si="4"/>
        <v>E022</v>
      </c>
      <c r="I355" s="1" t="s">
        <v>42</v>
      </c>
      <c r="J355" s="1">
        <v>22.0</v>
      </c>
      <c r="K355" s="2">
        <v>3000.0</v>
      </c>
      <c r="L355" s="1">
        <v>31701.0</v>
      </c>
      <c r="M355" s="1" t="str">
        <f>VLOOKUP(L355,'Catálogos'!$A$2:$B$492,2,0)</f>
        <v>Servicios de conducción de señales analógicas y digitales</v>
      </c>
      <c r="N355" s="1">
        <v>1.0</v>
      </c>
      <c r="O355" s="1">
        <v>4.0</v>
      </c>
      <c r="P355" s="1">
        <v>9.0</v>
      </c>
      <c r="Q355" s="1">
        <v>0.0</v>
      </c>
      <c r="R355" s="1">
        <v>47000.0</v>
      </c>
      <c r="S355" s="1">
        <v>0.0</v>
      </c>
      <c r="T355" s="1">
        <v>0.0</v>
      </c>
      <c r="U355" s="1">
        <v>0.0</v>
      </c>
      <c r="V355" s="1">
        <v>0.0</v>
      </c>
    </row>
    <row r="356" ht="15.75" customHeight="1">
      <c r="A356" s="1">
        <v>12.0</v>
      </c>
      <c r="B356" s="1" t="s">
        <v>22</v>
      </c>
      <c r="C356" s="1">
        <v>3.0</v>
      </c>
      <c r="D356" s="1">
        <v>8.0</v>
      </c>
      <c r="E356" s="1">
        <v>1.0</v>
      </c>
      <c r="F356" s="1">
        <v>0.0</v>
      </c>
      <c r="G356" s="1">
        <v>24.0</v>
      </c>
      <c r="H356" s="1" t="str">
        <f t="shared" si="4"/>
        <v>E022</v>
      </c>
      <c r="I356" s="1" t="s">
        <v>42</v>
      </c>
      <c r="J356" s="1">
        <v>22.0</v>
      </c>
      <c r="K356" s="2">
        <v>3000.0</v>
      </c>
      <c r="L356" s="1">
        <v>31801.0</v>
      </c>
      <c r="M356" s="1" t="str">
        <f>VLOOKUP(L356,'Catálogos'!$A$2:$B$492,2,0)</f>
        <v>Servicio postal</v>
      </c>
      <c r="N356" s="1">
        <v>1.0</v>
      </c>
      <c r="O356" s="1">
        <v>4.0</v>
      </c>
      <c r="P356" s="1">
        <v>9.0</v>
      </c>
      <c r="Q356" s="1">
        <v>0.0</v>
      </c>
      <c r="R356" s="1">
        <v>2800.0</v>
      </c>
      <c r="S356" s="1">
        <v>331.0</v>
      </c>
      <c r="T356" s="1">
        <v>319.0</v>
      </c>
      <c r="U356" s="1">
        <v>319.0</v>
      </c>
      <c r="V356" s="1">
        <v>319.0</v>
      </c>
    </row>
    <row r="357" ht="15.75" customHeight="1">
      <c r="A357" s="1">
        <v>12.0</v>
      </c>
      <c r="B357" s="1" t="s">
        <v>22</v>
      </c>
      <c r="C357" s="1">
        <v>3.0</v>
      </c>
      <c r="D357" s="1">
        <v>8.0</v>
      </c>
      <c r="E357" s="1">
        <v>1.0</v>
      </c>
      <c r="F357" s="1">
        <v>0.0</v>
      </c>
      <c r="G357" s="1">
        <v>24.0</v>
      </c>
      <c r="H357" s="1" t="str">
        <f t="shared" si="4"/>
        <v>E022</v>
      </c>
      <c r="I357" s="1" t="s">
        <v>42</v>
      </c>
      <c r="J357" s="1">
        <v>22.0</v>
      </c>
      <c r="K357" s="2">
        <v>3000.0</v>
      </c>
      <c r="L357" s="1">
        <v>32301.0</v>
      </c>
      <c r="M357" s="1" t="str">
        <f>VLOOKUP(L357,'Catálogos'!$A$2:$B$492,2,0)</f>
        <v>Arrendamiento de equipo y bienes informáticos</v>
      </c>
      <c r="N357" s="1">
        <v>1.0</v>
      </c>
      <c r="O357" s="1">
        <v>1.0</v>
      </c>
      <c r="P357" s="1">
        <v>9.0</v>
      </c>
      <c r="Q357" s="1">
        <v>0.0</v>
      </c>
      <c r="R357" s="1">
        <v>4199000.0</v>
      </c>
      <c r="S357" s="1">
        <v>4873225.0</v>
      </c>
      <c r="T357" s="1">
        <v>4873225.0</v>
      </c>
      <c r="U357" s="1">
        <v>4873225.0</v>
      </c>
      <c r="V357" s="1">
        <v>4873225.0</v>
      </c>
    </row>
    <row r="358" ht="15.75" customHeight="1">
      <c r="A358" s="1">
        <v>12.0</v>
      </c>
      <c r="B358" s="1" t="s">
        <v>22</v>
      </c>
      <c r="C358" s="1">
        <v>3.0</v>
      </c>
      <c r="D358" s="1">
        <v>8.0</v>
      </c>
      <c r="E358" s="1">
        <v>1.0</v>
      </c>
      <c r="F358" s="1">
        <v>0.0</v>
      </c>
      <c r="G358" s="1">
        <v>24.0</v>
      </c>
      <c r="H358" s="1" t="str">
        <f t="shared" si="4"/>
        <v>E022</v>
      </c>
      <c r="I358" s="1" t="s">
        <v>42</v>
      </c>
      <c r="J358" s="1">
        <v>22.0</v>
      </c>
      <c r="K358" s="2">
        <v>3000.0</v>
      </c>
      <c r="L358" s="1">
        <v>32301.0</v>
      </c>
      <c r="M358" s="1" t="str">
        <f>VLOOKUP(L358,'Catálogos'!$A$2:$B$492,2,0)</f>
        <v>Arrendamiento de equipo y bienes informáticos</v>
      </c>
      <c r="N358" s="1">
        <v>1.0</v>
      </c>
      <c r="O358" s="1">
        <v>4.0</v>
      </c>
      <c r="P358" s="1">
        <v>9.0</v>
      </c>
      <c r="Q358" s="1">
        <v>0.0</v>
      </c>
      <c r="R358" s="1">
        <v>975300.0</v>
      </c>
      <c r="S358" s="1">
        <v>0.0</v>
      </c>
      <c r="T358" s="1">
        <v>0.0</v>
      </c>
      <c r="U358" s="1">
        <v>0.0</v>
      </c>
      <c r="V358" s="1">
        <v>0.0</v>
      </c>
    </row>
    <row r="359" ht="15.75" customHeight="1">
      <c r="A359" s="1">
        <v>12.0</v>
      </c>
      <c r="B359" s="1" t="s">
        <v>22</v>
      </c>
      <c r="C359" s="1">
        <v>3.0</v>
      </c>
      <c r="D359" s="1">
        <v>8.0</v>
      </c>
      <c r="E359" s="1">
        <v>1.0</v>
      </c>
      <c r="F359" s="1">
        <v>0.0</v>
      </c>
      <c r="G359" s="1">
        <v>24.0</v>
      </c>
      <c r="H359" s="1" t="str">
        <f t="shared" si="4"/>
        <v>E022</v>
      </c>
      <c r="I359" s="1" t="s">
        <v>42</v>
      </c>
      <c r="J359" s="1">
        <v>22.0</v>
      </c>
      <c r="K359" s="2">
        <v>3000.0</v>
      </c>
      <c r="L359" s="1">
        <v>32302.0</v>
      </c>
      <c r="M359" s="1" t="str">
        <f>VLOOKUP(L359,'Catálogos'!$A$2:$B$492,2,0)</f>
        <v>Arrendamiento de mobiliario</v>
      </c>
      <c r="N359" s="1">
        <v>1.0</v>
      </c>
      <c r="O359" s="1">
        <v>4.0</v>
      </c>
      <c r="P359" s="1">
        <v>9.0</v>
      </c>
      <c r="Q359" s="1">
        <v>0.0</v>
      </c>
      <c r="R359" s="1">
        <v>1040.0</v>
      </c>
      <c r="S359" s="1">
        <v>1040.0</v>
      </c>
      <c r="T359" s="1">
        <v>0.0</v>
      </c>
      <c r="U359" s="1">
        <v>0.0</v>
      </c>
      <c r="V359" s="1">
        <v>0.0</v>
      </c>
    </row>
    <row r="360" ht="15.75" customHeight="1">
      <c r="A360" s="1">
        <v>12.0</v>
      </c>
      <c r="B360" s="1" t="s">
        <v>22</v>
      </c>
      <c r="C360" s="1">
        <v>3.0</v>
      </c>
      <c r="D360" s="1">
        <v>8.0</v>
      </c>
      <c r="E360" s="1">
        <v>1.0</v>
      </c>
      <c r="F360" s="1">
        <v>0.0</v>
      </c>
      <c r="G360" s="1">
        <v>24.0</v>
      </c>
      <c r="H360" s="1" t="str">
        <f t="shared" si="4"/>
        <v>E022</v>
      </c>
      <c r="I360" s="1" t="s">
        <v>42</v>
      </c>
      <c r="J360" s="1">
        <v>22.0</v>
      </c>
      <c r="K360" s="2">
        <v>3000.0</v>
      </c>
      <c r="L360" s="1">
        <v>32502.0</v>
      </c>
      <c r="M360" s="1" t="str">
        <f>VLOOKUP(L360,'Catálogos'!$A$2:$B$492,2,0)</f>
        <v>Arrendamiento de vehículos terrestres, aéreos, marítimos, lacustres y fluviales para servicios públicos y la operación de programas públicos</v>
      </c>
      <c r="N360" s="1">
        <v>1.0</v>
      </c>
      <c r="O360" s="1">
        <v>1.0</v>
      </c>
      <c r="P360" s="1">
        <v>9.0</v>
      </c>
      <c r="Q360" s="1">
        <v>0.0</v>
      </c>
      <c r="R360" s="1">
        <v>215879.0</v>
      </c>
      <c r="S360" s="1">
        <v>433380.0</v>
      </c>
      <c r="T360" s="1">
        <v>433380.0</v>
      </c>
      <c r="U360" s="1">
        <v>433380.0</v>
      </c>
      <c r="V360" s="1">
        <v>433380.0</v>
      </c>
    </row>
    <row r="361" ht="15.75" customHeight="1">
      <c r="A361" s="1">
        <v>12.0</v>
      </c>
      <c r="B361" s="1" t="s">
        <v>22</v>
      </c>
      <c r="C361" s="1">
        <v>3.0</v>
      </c>
      <c r="D361" s="1">
        <v>8.0</v>
      </c>
      <c r="E361" s="1">
        <v>1.0</v>
      </c>
      <c r="F361" s="1">
        <v>0.0</v>
      </c>
      <c r="G361" s="1">
        <v>24.0</v>
      </c>
      <c r="H361" s="1" t="str">
        <f t="shared" si="4"/>
        <v>E022</v>
      </c>
      <c r="I361" s="1" t="s">
        <v>42</v>
      </c>
      <c r="J361" s="1">
        <v>22.0</v>
      </c>
      <c r="K361" s="2">
        <v>3000.0</v>
      </c>
      <c r="L361" s="1">
        <v>32502.0</v>
      </c>
      <c r="M361" s="1" t="str">
        <f>VLOOKUP(L361,'Catálogos'!$A$2:$B$492,2,0)</f>
        <v>Arrendamiento de vehículos terrestres, aéreos, marítimos, lacustres y fluviales para servicios públicos y la operación de programas públicos</v>
      </c>
      <c r="N361" s="1">
        <v>1.0</v>
      </c>
      <c r="O361" s="1">
        <v>4.0</v>
      </c>
      <c r="P361" s="1">
        <v>9.0</v>
      </c>
      <c r="Q361" s="1">
        <v>0.0</v>
      </c>
      <c r="R361" s="1">
        <v>23920.0</v>
      </c>
      <c r="S361" s="1">
        <v>0.0</v>
      </c>
      <c r="T361" s="1">
        <v>0.0</v>
      </c>
      <c r="U361" s="1">
        <v>0.0</v>
      </c>
      <c r="V361" s="1">
        <v>0.0</v>
      </c>
    </row>
    <row r="362" ht="15.75" customHeight="1">
      <c r="A362" s="1">
        <v>12.0</v>
      </c>
      <c r="B362" s="1" t="s">
        <v>22</v>
      </c>
      <c r="C362" s="1">
        <v>3.0</v>
      </c>
      <c r="D362" s="1">
        <v>8.0</v>
      </c>
      <c r="E362" s="1">
        <v>1.0</v>
      </c>
      <c r="F362" s="1">
        <v>0.0</v>
      </c>
      <c r="G362" s="1">
        <v>24.0</v>
      </c>
      <c r="H362" s="1" t="str">
        <f t="shared" si="4"/>
        <v>E022</v>
      </c>
      <c r="I362" s="1" t="s">
        <v>42</v>
      </c>
      <c r="J362" s="1">
        <v>22.0</v>
      </c>
      <c r="K362" s="2">
        <v>3000.0</v>
      </c>
      <c r="L362" s="1">
        <v>32601.0</v>
      </c>
      <c r="M362" s="1" t="str">
        <f>VLOOKUP(L362,'Catálogos'!$A$2:$B$492,2,0)</f>
        <v>Arrendamiento de maquinaria y equipo</v>
      </c>
      <c r="N362" s="1">
        <v>1.0</v>
      </c>
      <c r="O362" s="1">
        <v>4.0</v>
      </c>
      <c r="P362" s="1">
        <v>9.0</v>
      </c>
      <c r="Q362" s="1">
        <v>0.0</v>
      </c>
      <c r="R362" s="1">
        <v>0.0</v>
      </c>
      <c r="S362" s="1">
        <v>137500.0</v>
      </c>
      <c r="T362" s="1">
        <v>137460.0</v>
      </c>
      <c r="U362" s="1">
        <v>137460.0</v>
      </c>
      <c r="V362" s="1">
        <v>137460.0</v>
      </c>
    </row>
    <row r="363" ht="15.75" customHeight="1">
      <c r="A363" s="1">
        <v>12.0</v>
      </c>
      <c r="B363" s="1" t="s">
        <v>22</v>
      </c>
      <c r="C363" s="1">
        <v>3.0</v>
      </c>
      <c r="D363" s="1">
        <v>8.0</v>
      </c>
      <c r="E363" s="1">
        <v>1.0</v>
      </c>
      <c r="F363" s="1">
        <v>0.0</v>
      </c>
      <c r="G363" s="1">
        <v>24.0</v>
      </c>
      <c r="H363" s="1" t="str">
        <f t="shared" si="4"/>
        <v>E022</v>
      </c>
      <c r="I363" s="1" t="s">
        <v>42</v>
      </c>
      <c r="J363" s="1">
        <v>22.0</v>
      </c>
      <c r="K363" s="2">
        <v>3000.0</v>
      </c>
      <c r="L363" s="1">
        <v>32701.0</v>
      </c>
      <c r="M363" s="1" t="str">
        <f>VLOOKUP(L363,'Catálogos'!$A$2:$B$492,2,0)</f>
        <v>Patentes, derechos de autor, regalías y otros</v>
      </c>
      <c r="N363" s="1">
        <v>1.0</v>
      </c>
      <c r="O363" s="1">
        <v>1.0</v>
      </c>
      <c r="P363" s="1">
        <v>9.0</v>
      </c>
      <c r="Q363" s="1">
        <v>0.0</v>
      </c>
      <c r="R363" s="1">
        <v>279028.0</v>
      </c>
      <c r="S363" s="1">
        <v>0.0</v>
      </c>
      <c r="T363" s="1">
        <v>0.0</v>
      </c>
      <c r="U363" s="1">
        <v>0.0</v>
      </c>
      <c r="V363" s="1">
        <v>0.0</v>
      </c>
    </row>
    <row r="364" ht="15.75" customHeight="1">
      <c r="A364" s="1">
        <v>12.0</v>
      </c>
      <c r="B364" s="1" t="s">
        <v>22</v>
      </c>
      <c r="C364" s="1">
        <v>3.0</v>
      </c>
      <c r="D364" s="1">
        <v>8.0</v>
      </c>
      <c r="E364" s="1">
        <v>1.0</v>
      </c>
      <c r="F364" s="1">
        <v>0.0</v>
      </c>
      <c r="G364" s="1">
        <v>24.0</v>
      </c>
      <c r="H364" s="1" t="str">
        <f t="shared" si="4"/>
        <v>E022</v>
      </c>
      <c r="I364" s="1" t="s">
        <v>42</v>
      </c>
      <c r="J364" s="1">
        <v>22.0</v>
      </c>
      <c r="K364" s="2">
        <v>3000.0</v>
      </c>
      <c r="L364" s="1">
        <v>32701.0</v>
      </c>
      <c r="M364" s="1" t="str">
        <f>VLOOKUP(L364,'Catálogos'!$A$2:$B$492,2,0)</f>
        <v>Patentes, derechos de autor, regalías y otros</v>
      </c>
      <c r="N364" s="1">
        <v>1.0</v>
      </c>
      <c r="O364" s="1">
        <v>4.0</v>
      </c>
      <c r="P364" s="1">
        <v>9.0</v>
      </c>
      <c r="Q364" s="1">
        <v>0.0</v>
      </c>
      <c r="R364" s="1">
        <v>11200.0</v>
      </c>
      <c r="S364" s="1">
        <v>11200.0</v>
      </c>
      <c r="T364" s="1">
        <v>11200.0</v>
      </c>
      <c r="U364" s="1">
        <v>11200.0</v>
      </c>
      <c r="V364" s="1">
        <v>11200.0</v>
      </c>
    </row>
    <row r="365" ht="15.75" customHeight="1">
      <c r="A365" s="1">
        <v>12.0</v>
      </c>
      <c r="B365" s="1" t="s">
        <v>22</v>
      </c>
      <c r="C365" s="1">
        <v>3.0</v>
      </c>
      <c r="D365" s="1">
        <v>8.0</v>
      </c>
      <c r="E365" s="1">
        <v>1.0</v>
      </c>
      <c r="F365" s="1">
        <v>0.0</v>
      </c>
      <c r="G365" s="1">
        <v>24.0</v>
      </c>
      <c r="H365" s="1" t="str">
        <f t="shared" si="4"/>
        <v>E022</v>
      </c>
      <c r="I365" s="1" t="s">
        <v>42</v>
      </c>
      <c r="J365" s="1">
        <v>22.0</v>
      </c>
      <c r="K365" s="2">
        <v>3000.0</v>
      </c>
      <c r="L365" s="1">
        <v>33105.0</v>
      </c>
      <c r="M365" s="1" t="str">
        <f>VLOOKUP(L365,'Catálogos'!$A$2:$B$492,2,0)</f>
        <v>Servicios relacionados con procedimientos jurisdiccionales</v>
      </c>
      <c r="N365" s="1">
        <v>1.0</v>
      </c>
      <c r="O365" s="1">
        <v>4.0</v>
      </c>
      <c r="P365" s="1">
        <v>9.0</v>
      </c>
      <c r="Q365" s="1">
        <v>0.0</v>
      </c>
      <c r="R365" s="1">
        <v>0.0</v>
      </c>
      <c r="S365" s="1">
        <v>31102.0</v>
      </c>
      <c r="T365" s="1">
        <v>31102.0</v>
      </c>
      <c r="U365" s="1">
        <v>31102.0</v>
      </c>
      <c r="V365" s="1">
        <v>31102.0</v>
      </c>
    </row>
    <row r="366" ht="15.75" customHeight="1">
      <c r="A366" s="1">
        <v>12.0</v>
      </c>
      <c r="B366" s="1" t="s">
        <v>22</v>
      </c>
      <c r="C366" s="1">
        <v>3.0</v>
      </c>
      <c r="D366" s="1">
        <v>8.0</v>
      </c>
      <c r="E366" s="1">
        <v>1.0</v>
      </c>
      <c r="F366" s="1">
        <v>0.0</v>
      </c>
      <c r="G366" s="1">
        <v>24.0</v>
      </c>
      <c r="H366" s="1" t="str">
        <f t="shared" si="4"/>
        <v>E022</v>
      </c>
      <c r="I366" s="1" t="s">
        <v>42</v>
      </c>
      <c r="J366" s="1">
        <v>22.0</v>
      </c>
      <c r="K366" s="2">
        <v>3000.0</v>
      </c>
      <c r="L366" s="1">
        <v>33201.0</v>
      </c>
      <c r="M366" s="1" t="str">
        <f>VLOOKUP(L366,'Catálogos'!$A$2:$B$492,2,0)</f>
        <v>Servicios de diseño, arquitectura, ingeniería y actividades relacionadas</v>
      </c>
      <c r="N366" s="1">
        <v>1.0</v>
      </c>
      <c r="O366" s="1">
        <v>1.0</v>
      </c>
      <c r="P366" s="1">
        <v>9.0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</row>
    <row r="367" ht="15.75" customHeight="1">
      <c r="A367" s="1">
        <v>12.0</v>
      </c>
      <c r="B367" s="1" t="s">
        <v>22</v>
      </c>
      <c r="C367" s="1">
        <v>3.0</v>
      </c>
      <c r="D367" s="1">
        <v>8.0</v>
      </c>
      <c r="E367" s="1">
        <v>1.0</v>
      </c>
      <c r="F367" s="1">
        <v>0.0</v>
      </c>
      <c r="G367" s="1">
        <v>24.0</v>
      </c>
      <c r="H367" s="1" t="str">
        <f t="shared" si="4"/>
        <v>E022</v>
      </c>
      <c r="I367" s="1" t="s">
        <v>42</v>
      </c>
      <c r="J367" s="1">
        <v>22.0</v>
      </c>
      <c r="K367" s="2">
        <v>3000.0</v>
      </c>
      <c r="L367" s="1">
        <v>33201.0</v>
      </c>
      <c r="M367" s="1" t="str">
        <f>VLOOKUP(L367,'Catálogos'!$A$2:$B$492,2,0)</f>
        <v>Servicios de diseño, arquitectura, ingeniería y actividades relacionadas</v>
      </c>
      <c r="N367" s="1">
        <v>1.0</v>
      </c>
      <c r="O367" s="1">
        <v>4.0</v>
      </c>
      <c r="P367" s="1">
        <v>9.0</v>
      </c>
      <c r="Q367" s="1">
        <v>0.0</v>
      </c>
      <c r="R367" s="1">
        <v>0.0</v>
      </c>
      <c r="S367" s="1">
        <v>21615.0</v>
      </c>
      <c r="T367" s="1">
        <v>21614.0</v>
      </c>
      <c r="U367" s="1">
        <v>21614.0</v>
      </c>
      <c r="V367" s="1">
        <v>21614.0</v>
      </c>
    </row>
    <row r="368" ht="15.75" customHeight="1">
      <c r="A368" s="1">
        <v>12.0</v>
      </c>
      <c r="B368" s="1" t="s">
        <v>22</v>
      </c>
      <c r="C368" s="1">
        <v>3.0</v>
      </c>
      <c r="D368" s="1">
        <v>8.0</v>
      </c>
      <c r="E368" s="1">
        <v>1.0</v>
      </c>
      <c r="F368" s="1">
        <v>0.0</v>
      </c>
      <c r="G368" s="1">
        <v>24.0</v>
      </c>
      <c r="H368" s="1" t="str">
        <f t="shared" si="4"/>
        <v>E022</v>
      </c>
      <c r="I368" s="1" t="s">
        <v>42</v>
      </c>
      <c r="J368" s="1">
        <v>22.0</v>
      </c>
      <c r="K368" s="2">
        <v>3000.0</v>
      </c>
      <c r="L368" s="1">
        <v>33401.0</v>
      </c>
      <c r="M368" s="1" t="str">
        <f>VLOOKUP(L368,'Catálogos'!$A$2:$B$492,2,0)</f>
        <v>Servicios para capacitación a servidores públicos</v>
      </c>
      <c r="N368" s="1">
        <v>1.0</v>
      </c>
      <c r="O368" s="1">
        <v>1.0</v>
      </c>
      <c r="P368" s="1">
        <v>9.0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</row>
    <row r="369" ht="15.75" customHeight="1">
      <c r="A369" s="1">
        <v>12.0</v>
      </c>
      <c r="B369" s="1" t="s">
        <v>22</v>
      </c>
      <c r="C369" s="1">
        <v>3.0</v>
      </c>
      <c r="D369" s="1">
        <v>8.0</v>
      </c>
      <c r="E369" s="1">
        <v>1.0</v>
      </c>
      <c r="F369" s="1">
        <v>0.0</v>
      </c>
      <c r="G369" s="1">
        <v>24.0</v>
      </c>
      <c r="H369" s="1" t="str">
        <f t="shared" si="4"/>
        <v>E022</v>
      </c>
      <c r="I369" s="1" t="s">
        <v>42</v>
      </c>
      <c r="J369" s="1">
        <v>22.0</v>
      </c>
      <c r="K369" s="2">
        <v>3000.0</v>
      </c>
      <c r="L369" s="1">
        <v>33604.0</v>
      </c>
      <c r="M369" s="1" t="str">
        <f>VLOOKUP(L369,'Catálogos'!$A$2:$B$492,2,0)</f>
        <v>Impresión y elaboración de material informativo derivado de la operación y administración de las dependencias y entidades</v>
      </c>
      <c r="N369" s="1">
        <v>1.0</v>
      </c>
      <c r="O369" s="1">
        <v>4.0</v>
      </c>
      <c r="P369" s="1">
        <v>9.0</v>
      </c>
      <c r="Q369" s="1">
        <v>0.0</v>
      </c>
      <c r="R369" s="1">
        <v>2000.0</v>
      </c>
      <c r="S369" s="1">
        <v>2000.0</v>
      </c>
      <c r="T369" s="1">
        <v>1759.0</v>
      </c>
      <c r="U369" s="1">
        <v>1759.0</v>
      </c>
      <c r="V369" s="1">
        <v>1759.0</v>
      </c>
    </row>
    <row r="370" ht="15.75" customHeight="1">
      <c r="A370" s="1">
        <v>12.0</v>
      </c>
      <c r="B370" s="1" t="s">
        <v>22</v>
      </c>
      <c r="C370" s="1">
        <v>3.0</v>
      </c>
      <c r="D370" s="1">
        <v>8.0</v>
      </c>
      <c r="E370" s="1">
        <v>1.0</v>
      </c>
      <c r="F370" s="1">
        <v>0.0</v>
      </c>
      <c r="G370" s="1">
        <v>24.0</v>
      </c>
      <c r="H370" s="1" t="str">
        <f t="shared" si="4"/>
        <v>E022</v>
      </c>
      <c r="I370" s="1" t="s">
        <v>42</v>
      </c>
      <c r="J370" s="1">
        <v>22.0</v>
      </c>
      <c r="K370" s="2">
        <v>3000.0</v>
      </c>
      <c r="L370" s="1">
        <v>33801.0</v>
      </c>
      <c r="M370" s="1" t="str">
        <f>VLOOKUP(L370,'Catálogos'!$A$2:$B$492,2,0)</f>
        <v>Servicios de vigilancia</v>
      </c>
      <c r="N370" s="1">
        <v>1.0</v>
      </c>
      <c r="O370" s="1">
        <v>1.0</v>
      </c>
      <c r="P370" s="1">
        <v>9.0</v>
      </c>
      <c r="Q370" s="1">
        <v>0.0</v>
      </c>
      <c r="R370" s="1">
        <v>1970635.0</v>
      </c>
      <c r="S370" s="1">
        <v>2783564.0</v>
      </c>
      <c r="T370" s="1">
        <v>2783564.0</v>
      </c>
      <c r="U370" s="1">
        <v>2783564.0</v>
      </c>
      <c r="V370" s="1">
        <v>2783564.0</v>
      </c>
    </row>
    <row r="371" ht="15.75" customHeight="1">
      <c r="A371" s="1">
        <v>12.0</v>
      </c>
      <c r="B371" s="1" t="s">
        <v>22</v>
      </c>
      <c r="C371" s="1">
        <v>3.0</v>
      </c>
      <c r="D371" s="1">
        <v>8.0</v>
      </c>
      <c r="E371" s="1">
        <v>1.0</v>
      </c>
      <c r="F371" s="1">
        <v>0.0</v>
      </c>
      <c r="G371" s="1">
        <v>24.0</v>
      </c>
      <c r="H371" s="1" t="str">
        <f t="shared" si="4"/>
        <v>E022</v>
      </c>
      <c r="I371" s="1" t="s">
        <v>42</v>
      </c>
      <c r="J371" s="1">
        <v>22.0</v>
      </c>
      <c r="K371" s="2">
        <v>3000.0</v>
      </c>
      <c r="L371" s="1">
        <v>33801.0</v>
      </c>
      <c r="M371" s="1" t="str">
        <f>VLOOKUP(L371,'Catálogos'!$A$2:$B$492,2,0)</f>
        <v>Servicios de vigilancia</v>
      </c>
      <c r="N371" s="1">
        <v>1.0</v>
      </c>
      <c r="O371" s="1">
        <v>4.0</v>
      </c>
      <c r="P371" s="1">
        <v>9.0</v>
      </c>
      <c r="Q371" s="1">
        <v>0.0</v>
      </c>
      <c r="R371" s="1">
        <v>178500.0</v>
      </c>
      <c r="S371" s="1">
        <v>0.0</v>
      </c>
      <c r="T371" s="1">
        <v>0.0</v>
      </c>
      <c r="U371" s="1">
        <v>0.0</v>
      </c>
      <c r="V371" s="1">
        <v>0.0</v>
      </c>
    </row>
    <row r="372" ht="15.75" customHeight="1">
      <c r="A372" s="1">
        <v>12.0</v>
      </c>
      <c r="B372" s="1" t="s">
        <v>22</v>
      </c>
      <c r="C372" s="1">
        <v>3.0</v>
      </c>
      <c r="D372" s="1">
        <v>8.0</v>
      </c>
      <c r="E372" s="1">
        <v>1.0</v>
      </c>
      <c r="F372" s="1">
        <v>0.0</v>
      </c>
      <c r="G372" s="1">
        <v>24.0</v>
      </c>
      <c r="H372" s="1" t="str">
        <f t="shared" si="4"/>
        <v>E022</v>
      </c>
      <c r="I372" s="1" t="s">
        <v>42</v>
      </c>
      <c r="J372" s="1">
        <v>22.0</v>
      </c>
      <c r="K372" s="2">
        <v>3000.0</v>
      </c>
      <c r="L372" s="1">
        <v>33901.0</v>
      </c>
      <c r="M372" s="1" t="str">
        <f>VLOOKUP(L372,'Catálogos'!$A$2:$B$492,2,0)</f>
        <v>Subcontratación de servicios con terceros</v>
      </c>
      <c r="N372" s="1">
        <v>1.0</v>
      </c>
      <c r="O372" s="1">
        <v>1.0</v>
      </c>
      <c r="P372" s="1">
        <v>9.0</v>
      </c>
      <c r="Q372" s="1">
        <v>0.0</v>
      </c>
      <c r="R372" s="1">
        <v>1.0633766E7</v>
      </c>
      <c r="S372" s="1">
        <v>1.1590059E7</v>
      </c>
      <c r="T372" s="1">
        <v>1.1590059E7</v>
      </c>
      <c r="U372" s="1">
        <v>1.1590059E7</v>
      </c>
      <c r="V372" s="1">
        <v>1.1590059E7</v>
      </c>
    </row>
    <row r="373" ht="15.75" customHeight="1">
      <c r="A373" s="1">
        <v>12.0</v>
      </c>
      <c r="B373" s="1" t="s">
        <v>22</v>
      </c>
      <c r="C373" s="1">
        <v>3.0</v>
      </c>
      <c r="D373" s="1">
        <v>8.0</v>
      </c>
      <c r="E373" s="1">
        <v>1.0</v>
      </c>
      <c r="F373" s="1">
        <v>0.0</v>
      </c>
      <c r="G373" s="1">
        <v>24.0</v>
      </c>
      <c r="H373" s="1" t="str">
        <f t="shared" si="4"/>
        <v>E022</v>
      </c>
      <c r="I373" s="1" t="s">
        <v>42</v>
      </c>
      <c r="J373" s="1">
        <v>22.0</v>
      </c>
      <c r="K373" s="2">
        <v>3000.0</v>
      </c>
      <c r="L373" s="1">
        <v>33901.0</v>
      </c>
      <c r="M373" s="1" t="str">
        <f>VLOOKUP(L373,'Catálogos'!$A$2:$B$492,2,0)</f>
        <v>Subcontratación de servicios con terceros</v>
      </c>
      <c r="N373" s="1">
        <v>1.0</v>
      </c>
      <c r="O373" s="1">
        <v>4.0</v>
      </c>
      <c r="P373" s="1">
        <v>9.0</v>
      </c>
      <c r="Q373" s="1">
        <v>0.0</v>
      </c>
      <c r="R373" s="1">
        <v>1300000.0</v>
      </c>
      <c r="S373" s="1">
        <v>3108818.0</v>
      </c>
      <c r="T373" s="1">
        <v>3100772.0</v>
      </c>
      <c r="U373" s="1">
        <v>3100772.0</v>
      </c>
      <c r="V373" s="1">
        <v>3100772.0</v>
      </c>
    </row>
    <row r="374" ht="15.75" customHeight="1">
      <c r="A374" s="1">
        <v>12.0</v>
      </c>
      <c r="B374" s="1" t="s">
        <v>22</v>
      </c>
      <c r="C374" s="1">
        <v>3.0</v>
      </c>
      <c r="D374" s="1">
        <v>8.0</v>
      </c>
      <c r="E374" s="1">
        <v>1.0</v>
      </c>
      <c r="F374" s="1">
        <v>0.0</v>
      </c>
      <c r="G374" s="1">
        <v>24.0</v>
      </c>
      <c r="H374" s="1" t="str">
        <f t="shared" si="4"/>
        <v>E022</v>
      </c>
      <c r="I374" s="1" t="s">
        <v>42</v>
      </c>
      <c r="J374" s="1">
        <v>22.0</v>
      </c>
      <c r="K374" s="2">
        <v>3000.0</v>
      </c>
      <c r="L374" s="1">
        <v>33903.0</v>
      </c>
      <c r="M374" s="1" t="str">
        <f>VLOOKUP(L374,'Catálogos'!$A$2:$B$492,2,0)</f>
        <v>Servicios integrales</v>
      </c>
      <c r="N374" s="1">
        <v>1.0</v>
      </c>
      <c r="O374" s="1">
        <v>1.0</v>
      </c>
      <c r="P374" s="1">
        <v>9.0</v>
      </c>
      <c r="Q374" s="1">
        <v>0.0</v>
      </c>
      <c r="R374" s="1">
        <v>8760166.0</v>
      </c>
      <c r="S374" s="1">
        <v>3536068.0</v>
      </c>
      <c r="T374" s="1">
        <v>3536068.0</v>
      </c>
      <c r="U374" s="1">
        <v>3536068.0</v>
      </c>
      <c r="V374" s="1">
        <v>3536068.0</v>
      </c>
    </row>
    <row r="375" ht="15.75" customHeight="1">
      <c r="A375" s="1">
        <v>12.0</v>
      </c>
      <c r="B375" s="1" t="s">
        <v>22</v>
      </c>
      <c r="C375" s="1">
        <v>3.0</v>
      </c>
      <c r="D375" s="1">
        <v>8.0</v>
      </c>
      <c r="E375" s="1">
        <v>1.0</v>
      </c>
      <c r="F375" s="1">
        <v>0.0</v>
      </c>
      <c r="G375" s="1">
        <v>24.0</v>
      </c>
      <c r="H375" s="1" t="str">
        <f t="shared" si="4"/>
        <v>E022</v>
      </c>
      <c r="I375" s="1" t="s">
        <v>42</v>
      </c>
      <c r="J375" s="1">
        <v>22.0</v>
      </c>
      <c r="K375" s="2">
        <v>3000.0</v>
      </c>
      <c r="L375" s="1">
        <v>34501.0</v>
      </c>
      <c r="M375" s="1" t="str">
        <f>VLOOKUP(L375,'Catálogos'!$A$2:$B$492,2,0)</f>
        <v>Seguros de bienes patrimoniales</v>
      </c>
      <c r="N375" s="1">
        <v>1.0</v>
      </c>
      <c r="O375" s="1">
        <v>1.0</v>
      </c>
      <c r="P375" s="1">
        <v>9.0</v>
      </c>
      <c r="Q375" s="1">
        <v>0.0</v>
      </c>
      <c r="R375" s="1">
        <v>897902.0</v>
      </c>
      <c r="S375" s="1">
        <v>360348.0</v>
      </c>
      <c r="T375" s="1">
        <v>360348.0</v>
      </c>
      <c r="U375" s="1">
        <v>360348.0</v>
      </c>
      <c r="V375" s="1">
        <v>360348.0</v>
      </c>
    </row>
    <row r="376" ht="15.75" customHeight="1">
      <c r="A376" s="1">
        <v>12.0</v>
      </c>
      <c r="B376" s="1" t="s">
        <v>22</v>
      </c>
      <c r="C376" s="1">
        <v>3.0</v>
      </c>
      <c r="D376" s="1">
        <v>8.0</v>
      </c>
      <c r="E376" s="1">
        <v>1.0</v>
      </c>
      <c r="F376" s="1">
        <v>0.0</v>
      </c>
      <c r="G376" s="1">
        <v>24.0</v>
      </c>
      <c r="H376" s="1" t="str">
        <f t="shared" si="4"/>
        <v>E022</v>
      </c>
      <c r="I376" s="1" t="s">
        <v>42</v>
      </c>
      <c r="J376" s="1">
        <v>22.0</v>
      </c>
      <c r="K376" s="2">
        <v>3000.0</v>
      </c>
      <c r="L376" s="1">
        <v>35102.0</v>
      </c>
      <c r="M376" s="1" t="str">
        <f>VLOOKUP(L376,'Catálogos'!$A$2:$B$492,2,0)</f>
        <v>Mantenimiento y conservación de inmuebles para la prestación de servicios públicos</v>
      </c>
      <c r="N376" s="1">
        <v>1.0</v>
      </c>
      <c r="O376" s="1">
        <v>1.0</v>
      </c>
      <c r="P376" s="1">
        <v>9.0</v>
      </c>
      <c r="Q376" s="1">
        <v>0.0</v>
      </c>
      <c r="R376" s="1">
        <v>662925.0</v>
      </c>
      <c r="S376" s="1">
        <v>0.0</v>
      </c>
      <c r="T376" s="1">
        <v>0.0</v>
      </c>
      <c r="U376" s="1">
        <v>0.0</v>
      </c>
      <c r="V376" s="1">
        <v>0.0</v>
      </c>
    </row>
    <row r="377" ht="15.75" customHeight="1">
      <c r="A377" s="1">
        <v>12.0</v>
      </c>
      <c r="B377" s="1" t="s">
        <v>22</v>
      </c>
      <c r="C377" s="1">
        <v>3.0</v>
      </c>
      <c r="D377" s="1">
        <v>8.0</v>
      </c>
      <c r="E377" s="1">
        <v>1.0</v>
      </c>
      <c r="F377" s="1">
        <v>0.0</v>
      </c>
      <c r="G377" s="1">
        <v>24.0</v>
      </c>
      <c r="H377" s="1" t="str">
        <f t="shared" si="4"/>
        <v>E022</v>
      </c>
      <c r="I377" s="1" t="s">
        <v>42</v>
      </c>
      <c r="J377" s="1">
        <v>22.0</v>
      </c>
      <c r="K377" s="2">
        <v>3000.0</v>
      </c>
      <c r="L377" s="1">
        <v>35102.0</v>
      </c>
      <c r="M377" s="1" t="str">
        <f>VLOOKUP(L377,'Catálogos'!$A$2:$B$492,2,0)</f>
        <v>Mantenimiento y conservación de inmuebles para la prestación de servicios públicos</v>
      </c>
      <c r="N377" s="1">
        <v>1.0</v>
      </c>
      <c r="O377" s="1">
        <v>4.0</v>
      </c>
      <c r="P377" s="1">
        <v>9.0</v>
      </c>
      <c r="Q377" s="1">
        <v>0.0</v>
      </c>
      <c r="R377" s="1">
        <v>208000.0</v>
      </c>
      <c r="S377" s="1">
        <v>0.0</v>
      </c>
      <c r="T377" s="1">
        <v>0.0</v>
      </c>
      <c r="U377" s="1">
        <v>0.0</v>
      </c>
      <c r="V377" s="1">
        <v>0.0</v>
      </c>
    </row>
    <row r="378" ht="15.75" customHeight="1">
      <c r="A378" s="1">
        <v>12.0</v>
      </c>
      <c r="B378" s="1" t="s">
        <v>22</v>
      </c>
      <c r="C378" s="1">
        <v>3.0</v>
      </c>
      <c r="D378" s="1">
        <v>8.0</v>
      </c>
      <c r="E378" s="1">
        <v>1.0</v>
      </c>
      <c r="F378" s="1">
        <v>0.0</v>
      </c>
      <c r="G378" s="1">
        <v>24.0</v>
      </c>
      <c r="H378" s="1" t="str">
        <f t="shared" si="4"/>
        <v>E022</v>
      </c>
      <c r="I378" s="1" t="s">
        <v>42</v>
      </c>
      <c r="J378" s="1">
        <v>22.0</v>
      </c>
      <c r="K378" s="2">
        <v>3000.0</v>
      </c>
      <c r="L378" s="1">
        <v>35201.0</v>
      </c>
      <c r="M378" s="1" t="str">
        <f>VLOOKUP(L378,'Catálogos'!$A$2:$B$492,2,0)</f>
        <v>Mantenimiento y conservación de mobiliario y equipo de administración</v>
      </c>
      <c r="N378" s="1">
        <v>1.0</v>
      </c>
      <c r="O378" s="1">
        <v>1.0</v>
      </c>
      <c r="P378" s="1">
        <v>9.0</v>
      </c>
      <c r="Q378" s="1">
        <v>0.0</v>
      </c>
      <c r="R378" s="1">
        <v>398913.0</v>
      </c>
      <c r="S378" s="1">
        <v>716783.0</v>
      </c>
      <c r="T378" s="1">
        <v>716783.0</v>
      </c>
      <c r="U378" s="1">
        <v>716783.0</v>
      </c>
      <c r="V378" s="1">
        <v>716783.0</v>
      </c>
    </row>
    <row r="379" ht="15.75" customHeight="1">
      <c r="A379" s="1">
        <v>12.0</v>
      </c>
      <c r="B379" s="1" t="s">
        <v>22</v>
      </c>
      <c r="C379" s="1">
        <v>3.0</v>
      </c>
      <c r="D379" s="1">
        <v>8.0</v>
      </c>
      <c r="E379" s="1">
        <v>1.0</v>
      </c>
      <c r="F379" s="1">
        <v>0.0</v>
      </c>
      <c r="G379" s="1">
        <v>24.0</v>
      </c>
      <c r="H379" s="1" t="str">
        <f t="shared" si="4"/>
        <v>E022</v>
      </c>
      <c r="I379" s="1" t="s">
        <v>42</v>
      </c>
      <c r="J379" s="1">
        <v>22.0</v>
      </c>
      <c r="K379" s="2">
        <v>3000.0</v>
      </c>
      <c r="L379" s="1">
        <v>35201.0</v>
      </c>
      <c r="M379" s="1" t="str">
        <f>VLOOKUP(L379,'Catálogos'!$A$2:$B$492,2,0)</f>
        <v>Mantenimiento y conservación de mobiliario y equipo de administración</v>
      </c>
      <c r="N379" s="1">
        <v>1.0</v>
      </c>
      <c r="O379" s="1">
        <v>4.0</v>
      </c>
      <c r="P379" s="1">
        <v>9.0</v>
      </c>
      <c r="Q379" s="1">
        <v>0.0</v>
      </c>
      <c r="R379" s="1">
        <v>52000.0</v>
      </c>
      <c r="S379" s="1">
        <v>0.0</v>
      </c>
      <c r="T379" s="1">
        <v>0.0</v>
      </c>
      <c r="U379" s="1">
        <v>0.0</v>
      </c>
      <c r="V379" s="1">
        <v>0.0</v>
      </c>
    </row>
    <row r="380" ht="15.75" customHeight="1">
      <c r="A380" s="1">
        <v>12.0</v>
      </c>
      <c r="B380" s="1" t="s">
        <v>22</v>
      </c>
      <c r="C380" s="1">
        <v>3.0</v>
      </c>
      <c r="D380" s="1">
        <v>8.0</v>
      </c>
      <c r="E380" s="1">
        <v>1.0</v>
      </c>
      <c r="F380" s="1">
        <v>0.0</v>
      </c>
      <c r="G380" s="1">
        <v>24.0</v>
      </c>
      <c r="H380" s="1" t="str">
        <f t="shared" si="4"/>
        <v>E022</v>
      </c>
      <c r="I380" s="1" t="s">
        <v>42</v>
      </c>
      <c r="J380" s="1">
        <v>22.0</v>
      </c>
      <c r="K380" s="2">
        <v>3000.0</v>
      </c>
      <c r="L380" s="1">
        <v>35301.0</v>
      </c>
      <c r="M380" s="1" t="str">
        <f>VLOOKUP(L380,'Catálogos'!$A$2:$B$492,2,0)</f>
        <v>Mantenimiento y conservación de bienes informáticos</v>
      </c>
      <c r="N380" s="1">
        <v>1.0</v>
      </c>
      <c r="O380" s="1">
        <v>1.0</v>
      </c>
      <c r="P380" s="1">
        <v>9.0</v>
      </c>
      <c r="Q380" s="1">
        <v>0.0</v>
      </c>
      <c r="R380" s="1">
        <v>357492.0</v>
      </c>
      <c r="S380" s="1">
        <v>17980.0</v>
      </c>
      <c r="T380" s="1">
        <v>17980.0</v>
      </c>
      <c r="U380" s="1">
        <v>17980.0</v>
      </c>
      <c r="V380" s="1">
        <v>17980.0</v>
      </c>
    </row>
    <row r="381" ht="15.75" customHeight="1">
      <c r="A381" s="1">
        <v>12.0</v>
      </c>
      <c r="B381" s="1" t="s">
        <v>22</v>
      </c>
      <c r="C381" s="1">
        <v>3.0</v>
      </c>
      <c r="D381" s="1">
        <v>8.0</v>
      </c>
      <c r="E381" s="1">
        <v>1.0</v>
      </c>
      <c r="F381" s="1">
        <v>0.0</v>
      </c>
      <c r="G381" s="1">
        <v>24.0</v>
      </c>
      <c r="H381" s="1" t="str">
        <f t="shared" si="4"/>
        <v>E022</v>
      </c>
      <c r="I381" s="1" t="s">
        <v>42</v>
      </c>
      <c r="J381" s="1">
        <v>22.0</v>
      </c>
      <c r="K381" s="2">
        <v>3000.0</v>
      </c>
      <c r="L381" s="1">
        <v>35401.0</v>
      </c>
      <c r="M381" s="1" t="str">
        <f>VLOOKUP(L381,'Catálogos'!$A$2:$B$492,2,0)</f>
        <v>Instalación, reparación y mantenimiento de equipo e instrumental médico y de laboratorio</v>
      </c>
      <c r="N381" s="1">
        <v>1.0</v>
      </c>
      <c r="O381" s="1">
        <v>1.0</v>
      </c>
      <c r="P381" s="1">
        <v>9.0</v>
      </c>
      <c r="Q381" s="1">
        <v>0.0</v>
      </c>
      <c r="R381" s="1">
        <v>1382267.0</v>
      </c>
      <c r="S381" s="1">
        <v>1285604.0</v>
      </c>
      <c r="T381" s="1">
        <v>1285604.0</v>
      </c>
      <c r="U381" s="1">
        <v>1285604.0</v>
      </c>
      <c r="V381" s="1">
        <v>1285604.0</v>
      </c>
    </row>
    <row r="382" ht="15.75" customHeight="1">
      <c r="A382" s="1">
        <v>12.0</v>
      </c>
      <c r="B382" s="1" t="s">
        <v>22</v>
      </c>
      <c r="C382" s="1">
        <v>3.0</v>
      </c>
      <c r="D382" s="1">
        <v>8.0</v>
      </c>
      <c r="E382" s="1">
        <v>1.0</v>
      </c>
      <c r="F382" s="1">
        <v>0.0</v>
      </c>
      <c r="G382" s="1">
        <v>24.0</v>
      </c>
      <c r="H382" s="1" t="str">
        <f t="shared" si="4"/>
        <v>E022</v>
      </c>
      <c r="I382" s="1" t="s">
        <v>42</v>
      </c>
      <c r="J382" s="1">
        <v>22.0</v>
      </c>
      <c r="K382" s="2">
        <v>3000.0</v>
      </c>
      <c r="L382" s="1">
        <v>35401.0</v>
      </c>
      <c r="M382" s="1" t="str">
        <f>VLOOKUP(L382,'Catálogos'!$A$2:$B$492,2,0)</f>
        <v>Instalación, reparación y mantenimiento de equipo e instrumental médico y de laboratorio</v>
      </c>
      <c r="N382" s="1">
        <v>1.0</v>
      </c>
      <c r="O382" s="1">
        <v>4.0</v>
      </c>
      <c r="P382" s="1">
        <v>9.0</v>
      </c>
      <c r="Q382" s="1">
        <v>0.0</v>
      </c>
      <c r="R382" s="1">
        <v>100000.0</v>
      </c>
      <c r="S382" s="1">
        <v>1800.0</v>
      </c>
      <c r="T382" s="1">
        <v>0.0</v>
      </c>
      <c r="U382" s="1">
        <v>0.0</v>
      </c>
      <c r="V382" s="1">
        <v>0.0</v>
      </c>
    </row>
    <row r="383" ht="15.75" customHeight="1">
      <c r="A383" s="1">
        <v>12.0</v>
      </c>
      <c r="B383" s="1" t="s">
        <v>22</v>
      </c>
      <c r="C383" s="1">
        <v>3.0</v>
      </c>
      <c r="D383" s="1">
        <v>8.0</v>
      </c>
      <c r="E383" s="1">
        <v>1.0</v>
      </c>
      <c r="F383" s="1">
        <v>0.0</v>
      </c>
      <c r="G383" s="1">
        <v>24.0</v>
      </c>
      <c r="H383" s="1" t="str">
        <f t="shared" si="4"/>
        <v>E022</v>
      </c>
      <c r="I383" s="1" t="s">
        <v>42</v>
      </c>
      <c r="J383" s="1">
        <v>22.0</v>
      </c>
      <c r="K383" s="2">
        <v>3000.0</v>
      </c>
      <c r="L383" s="1">
        <v>35701.0</v>
      </c>
      <c r="M383" s="1" t="str">
        <f>VLOOKUP(L383,'Catálogos'!$A$2:$B$492,2,0)</f>
        <v>Mantenimiento y conservación de maquinaria y equipo</v>
      </c>
      <c r="N383" s="1">
        <v>1.0</v>
      </c>
      <c r="O383" s="1">
        <v>1.0</v>
      </c>
      <c r="P383" s="1">
        <v>9.0</v>
      </c>
      <c r="Q383" s="1">
        <v>0.0</v>
      </c>
      <c r="R383" s="1">
        <v>1339777.0</v>
      </c>
      <c r="S383" s="1">
        <v>355933.0</v>
      </c>
      <c r="T383" s="1">
        <v>355933.0</v>
      </c>
      <c r="U383" s="1">
        <v>355933.0</v>
      </c>
      <c r="V383" s="1">
        <v>355933.0</v>
      </c>
    </row>
    <row r="384" ht="15.75" customHeight="1">
      <c r="A384" s="1">
        <v>12.0</v>
      </c>
      <c r="B384" s="1" t="s">
        <v>22</v>
      </c>
      <c r="C384" s="1">
        <v>3.0</v>
      </c>
      <c r="D384" s="1">
        <v>8.0</v>
      </c>
      <c r="E384" s="1">
        <v>1.0</v>
      </c>
      <c r="F384" s="1">
        <v>0.0</v>
      </c>
      <c r="G384" s="1">
        <v>24.0</v>
      </c>
      <c r="H384" s="1" t="str">
        <f t="shared" si="4"/>
        <v>E022</v>
      </c>
      <c r="I384" s="1" t="s">
        <v>42</v>
      </c>
      <c r="J384" s="1">
        <v>22.0</v>
      </c>
      <c r="K384" s="2">
        <v>3000.0</v>
      </c>
      <c r="L384" s="1">
        <v>35701.0</v>
      </c>
      <c r="M384" s="1" t="str">
        <f>VLOOKUP(L384,'Catálogos'!$A$2:$B$492,2,0)</f>
        <v>Mantenimiento y conservación de maquinaria y equipo</v>
      </c>
      <c r="N384" s="1">
        <v>1.0</v>
      </c>
      <c r="O384" s="1">
        <v>4.0</v>
      </c>
      <c r="P384" s="1">
        <v>9.0</v>
      </c>
      <c r="Q384" s="1">
        <v>0.0</v>
      </c>
      <c r="R384" s="1">
        <v>50000.0</v>
      </c>
      <c r="S384" s="1">
        <v>10266.0</v>
      </c>
      <c r="T384" s="1">
        <v>10266.0</v>
      </c>
      <c r="U384" s="1">
        <v>10266.0</v>
      </c>
      <c r="V384" s="1">
        <v>10266.0</v>
      </c>
    </row>
    <row r="385" ht="15.75" customHeight="1">
      <c r="A385" s="1">
        <v>12.0</v>
      </c>
      <c r="B385" s="1" t="s">
        <v>22</v>
      </c>
      <c r="C385" s="1">
        <v>3.0</v>
      </c>
      <c r="D385" s="1">
        <v>8.0</v>
      </c>
      <c r="E385" s="1">
        <v>1.0</v>
      </c>
      <c r="F385" s="1">
        <v>0.0</v>
      </c>
      <c r="G385" s="1">
        <v>24.0</v>
      </c>
      <c r="H385" s="1" t="str">
        <f t="shared" si="4"/>
        <v>E022</v>
      </c>
      <c r="I385" s="1" t="s">
        <v>42</v>
      </c>
      <c r="J385" s="1">
        <v>22.0</v>
      </c>
      <c r="K385" s="2">
        <v>3000.0</v>
      </c>
      <c r="L385" s="1">
        <v>35801.0</v>
      </c>
      <c r="M385" s="1" t="str">
        <f>VLOOKUP(L385,'Catálogos'!$A$2:$B$492,2,0)</f>
        <v>Servicios de lavandería, limpieza e higiene</v>
      </c>
      <c r="N385" s="1">
        <v>1.0</v>
      </c>
      <c r="O385" s="1">
        <v>1.0</v>
      </c>
      <c r="P385" s="1">
        <v>9.0</v>
      </c>
      <c r="Q385" s="1">
        <v>0.0</v>
      </c>
      <c r="R385" s="1">
        <v>7679566.0</v>
      </c>
      <c r="S385" s="1">
        <v>4562639.0</v>
      </c>
      <c r="T385" s="1">
        <v>4562639.0</v>
      </c>
      <c r="U385" s="1">
        <v>4562639.0</v>
      </c>
      <c r="V385" s="1">
        <v>4562639.0</v>
      </c>
    </row>
    <row r="386" ht="15.75" customHeight="1">
      <c r="A386" s="1">
        <v>12.0</v>
      </c>
      <c r="B386" s="1" t="s">
        <v>22</v>
      </c>
      <c r="C386" s="1">
        <v>3.0</v>
      </c>
      <c r="D386" s="1">
        <v>8.0</v>
      </c>
      <c r="E386" s="1">
        <v>1.0</v>
      </c>
      <c r="F386" s="1">
        <v>0.0</v>
      </c>
      <c r="G386" s="1">
        <v>24.0</v>
      </c>
      <c r="H386" s="1" t="str">
        <f t="shared" si="4"/>
        <v>E022</v>
      </c>
      <c r="I386" s="1" t="s">
        <v>42</v>
      </c>
      <c r="J386" s="1">
        <v>22.0</v>
      </c>
      <c r="K386" s="2">
        <v>3000.0</v>
      </c>
      <c r="L386" s="1">
        <v>35801.0</v>
      </c>
      <c r="M386" s="1" t="str">
        <f>VLOOKUP(L386,'Catálogos'!$A$2:$B$492,2,0)</f>
        <v>Servicios de lavandería, limpieza e higiene</v>
      </c>
      <c r="N386" s="1">
        <v>1.0</v>
      </c>
      <c r="O386" s="1">
        <v>4.0</v>
      </c>
      <c r="P386" s="1">
        <v>9.0</v>
      </c>
      <c r="Q386" s="1">
        <v>0.0</v>
      </c>
      <c r="R386" s="1">
        <v>80000.0</v>
      </c>
      <c r="S386" s="1">
        <v>0.0</v>
      </c>
      <c r="T386" s="1">
        <v>0.0</v>
      </c>
      <c r="U386" s="1">
        <v>0.0</v>
      </c>
      <c r="V386" s="1">
        <v>0.0</v>
      </c>
    </row>
    <row r="387" ht="15.75" customHeight="1">
      <c r="A387" s="1">
        <v>12.0</v>
      </c>
      <c r="B387" s="1" t="s">
        <v>22</v>
      </c>
      <c r="C387" s="1">
        <v>3.0</v>
      </c>
      <c r="D387" s="1">
        <v>8.0</v>
      </c>
      <c r="E387" s="1">
        <v>1.0</v>
      </c>
      <c r="F387" s="1">
        <v>0.0</v>
      </c>
      <c r="G387" s="1">
        <v>24.0</v>
      </c>
      <c r="H387" s="1" t="str">
        <f t="shared" si="4"/>
        <v>E022</v>
      </c>
      <c r="I387" s="1" t="s">
        <v>42</v>
      </c>
      <c r="J387" s="1">
        <v>22.0</v>
      </c>
      <c r="K387" s="2">
        <v>3000.0</v>
      </c>
      <c r="L387" s="1">
        <v>35901.0</v>
      </c>
      <c r="M387" s="1" t="str">
        <f>VLOOKUP(L387,'Catálogos'!$A$2:$B$492,2,0)</f>
        <v>Servicios de jardinería y fumigación</v>
      </c>
      <c r="N387" s="1">
        <v>1.0</v>
      </c>
      <c r="O387" s="1">
        <v>1.0</v>
      </c>
      <c r="P387" s="1">
        <v>9.0</v>
      </c>
      <c r="Q387" s="1">
        <v>0.0</v>
      </c>
      <c r="R387" s="1">
        <v>3563.0</v>
      </c>
      <c r="S387" s="1">
        <v>304151.0</v>
      </c>
      <c r="T387" s="1">
        <v>304151.0</v>
      </c>
      <c r="U387" s="1">
        <v>304151.0</v>
      </c>
      <c r="V387" s="1">
        <v>304151.0</v>
      </c>
    </row>
    <row r="388" ht="15.75" customHeight="1">
      <c r="A388" s="1">
        <v>12.0</v>
      </c>
      <c r="B388" s="1" t="s">
        <v>22</v>
      </c>
      <c r="C388" s="1">
        <v>3.0</v>
      </c>
      <c r="D388" s="1">
        <v>8.0</v>
      </c>
      <c r="E388" s="1">
        <v>1.0</v>
      </c>
      <c r="F388" s="1">
        <v>0.0</v>
      </c>
      <c r="G388" s="1">
        <v>24.0</v>
      </c>
      <c r="H388" s="1" t="str">
        <f t="shared" si="4"/>
        <v>E022</v>
      </c>
      <c r="I388" s="1" t="s">
        <v>42</v>
      </c>
      <c r="J388" s="1">
        <v>22.0</v>
      </c>
      <c r="K388" s="2">
        <v>3000.0</v>
      </c>
      <c r="L388" s="1">
        <v>35901.0</v>
      </c>
      <c r="M388" s="1" t="str">
        <f>VLOOKUP(L388,'Catálogos'!$A$2:$B$492,2,0)</f>
        <v>Servicios de jardinería y fumigación</v>
      </c>
      <c r="N388" s="1">
        <v>1.0</v>
      </c>
      <c r="O388" s="1">
        <v>4.0</v>
      </c>
      <c r="P388" s="1">
        <v>9.0</v>
      </c>
      <c r="Q388" s="1">
        <v>0.0</v>
      </c>
      <c r="R388" s="1">
        <v>1800.0</v>
      </c>
      <c r="S388" s="1">
        <v>0.0</v>
      </c>
      <c r="T388" s="1">
        <v>0.0</v>
      </c>
      <c r="U388" s="1">
        <v>0.0</v>
      </c>
      <c r="V388" s="1">
        <v>0.0</v>
      </c>
    </row>
    <row r="389" ht="15.75" customHeight="1">
      <c r="A389" s="1">
        <v>12.0</v>
      </c>
      <c r="B389" s="1" t="s">
        <v>22</v>
      </c>
      <c r="C389" s="1">
        <v>3.0</v>
      </c>
      <c r="D389" s="1">
        <v>8.0</v>
      </c>
      <c r="E389" s="1">
        <v>1.0</v>
      </c>
      <c r="F389" s="1">
        <v>0.0</v>
      </c>
      <c r="G389" s="1">
        <v>24.0</v>
      </c>
      <c r="H389" s="1" t="str">
        <f t="shared" si="4"/>
        <v>E022</v>
      </c>
      <c r="I389" s="1" t="s">
        <v>42</v>
      </c>
      <c r="J389" s="1">
        <v>22.0</v>
      </c>
      <c r="K389" s="2">
        <v>3000.0</v>
      </c>
      <c r="L389" s="1">
        <v>39801.0</v>
      </c>
      <c r="M389" s="1" t="str">
        <f>VLOOKUP(L389,'Catálogos'!$A$2:$B$492,2,0)</f>
        <v>Impuesto sobre nóminas</v>
      </c>
      <c r="N389" s="1">
        <v>1.0</v>
      </c>
      <c r="O389" s="1">
        <v>1.0</v>
      </c>
      <c r="P389" s="1">
        <v>9.0</v>
      </c>
      <c r="Q389" s="1">
        <v>0.0</v>
      </c>
      <c r="R389" s="1">
        <v>2438194.0</v>
      </c>
      <c r="S389" s="1">
        <v>2874390.0</v>
      </c>
      <c r="T389" s="1">
        <v>2874390.0</v>
      </c>
      <c r="U389" s="1">
        <v>2874390.0</v>
      </c>
      <c r="V389" s="1">
        <v>2874390.0</v>
      </c>
    </row>
    <row r="390" ht="15.75" customHeight="1">
      <c r="A390" s="1">
        <v>12.0</v>
      </c>
      <c r="B390" s="1" t="s">
        <v>22</v>
      </c>
      <c r="C390" s="1">
        <v>3.0</v>
      </c>
      <c r="D390" s="1">
        <v>8.0</v>
      </c>
      <c r="E390" s="1">
        <v>1.0</v>
      </c>
      <c r="F390" s="1">
        <v>0.0</v>
      </c>
      <c r="G390" s="1">
        <v>24.0</v>
      </c>
      <c r="H390" s="1" t="str">
        <f t="shared" si="4"/>
        <v>E022</v>
      </c>
      <c r="I390" s="1" t="s">
        <v>42</v>
      </c>
      <c r="J390" s="1">
        <v>22.0</v>
      </c>
      <c r="K390" s="2">
        <v>4000.0</v>
      </c>
      <c r="L390" s="1">
        <v>44401.0</v>
      </c>
      <c r="M390" s="1" t="str">
        <f>VLOOKUP(L390,'Catálogos'!$A$2:$B$492,2,0)</f>
        <v>Apoyos a la investigación científica y tecnológica de instituciones académicas y sector público</v>
      </c>
      <c r="N390" s="1">
        <v>1.0</v>
      </c>
      <c r="O390" s="1">
        <v>1.0</v>
      </c>
      <c r="P390" s="1">
        <v>9.0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7.29"/>
    <col customWidth="1" min="3" max="3" width="3.57"/>
    <col customWidth="1" min="4" max="4" width="3.43"/>
    <col customWidth="1" min="5" max="6" width="3.57"/>
    <col customWidth="1" min="7" max="7" width="3.14"/>
    <col customWidth="1" min="8" max="8" width="3.71"/>
    <col customWidth="1" min="9" max="9" width="3.0"/>
    <col customWidth="1" min="10" max="10" width="6.43"/>
    <col customWidth="1" min="11" max="11" width="7.14"/>
    <col customWidth="1" min="12" max="12" width="4.0"/>
    <col customWidth="1" min="13" max="13" width="3.86"/>
    <col customWidth="1" min="14" max="14" width="4.43"/>
    <col customWidth="1" min="15" max="15" width="4.29"/>
    <col customWidth="1" min="16" max="16" width="12.0"/>
    <col customWidth="1" min="17" max="17" width="12.71"/>
    <col customWidth="1" min="18" max="20" width="13.29"/>
    <col customWidth="1" min="21" max="26" width="10.71"/>
  </cols>
  <sheetData>
    <row r="1" ht="36.0" customHeight="1">
      <c r="A1" s="19" t="s">
        <v>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13</v>
      </c>
      <c r="M2" s="21" t="s">
        <v>14</v>
      </c>
      <c r="N2" s="21" t="s">
        <v>15</v>
      </c>
      <c r="O2" s="21" t="s">
        <v>16</v>
      </c>
      <c r="P2" s="21" t="s">
        <v>17</v>
      </c>
      <c r="Q2" s="21" t="s">
        <v>18</v>
      </c>
      <c r="R2" s="21" t="s">
        <v>19</v>
      </c>
      <c r="S2" s="21" t="s">
        <v>20</v>
      </c>
      <c r="T2" s="21" t="s">
        <v>21</v>
      </c>
    </row>
    <row r="3">
      <c r="A3" s="21">
        <v>12.0</v>
      </c>
      <c r="B3" s="21" t="s">
        <v>22</v>
      </c>
      <c r="C3" s="21">
        <v>2.0</v>
      </c>
      <c r="D3" s="21">
        <v>3.0</v>
      </c>
      <c r="E3" s="21">
        <v>2.0</v>
      </c>
      <c r="F3" s="21">
        <v>0.0</v>
      </c>
      <c r="G3" s="21">
        <v>18.0</v>
      </c>
      <c r="H3" s="21" t="s">
        <v>42</v>
      </c>
      <c r="I3" s="21">
        <v>23.0</v>
      </c>
      <c r="J3" s="21">
        <v>3000.0</v>
      </c>
      <c r="K3" s="21">
        <v>35201.0</v>
      </c>
      <c r="L3" s="21">
        <v>1.0</v>
      </c>
      <c r="M3" s="21">
        <v>1.0</v>
      </c>
      <c r="N3" s="21">
        <v>9.0</v>
      </c>
      <c r="O3" s="21">
        <v>0.0</v>
      </c>
      <c r="P3" s="22">
        <v>408282.0</v>
      </c>
      <c r="Q3" s="22">
        <v>885859.0</v>
      </c>
      <c r="R3" s="22">
        <v>885859.0</v>
      </c>
      <c r="S3" s="22">
        <v>885859.0</v>
      </c>
      <c r="T3" s="22">
        <v>885859.0</v>
      </c>
    </row>
    <row r="4">
      <c r="A4" s="21">
        <v>12.0</v>
      </c>
      <c r="B4" s="21" t="s">
        <v>22</v>
      </c>
      <c r="C4" s="21">
        <v>2.0</v>
      </c>
      <c r="D4" s="21">
        <v>3.0</v>
      </c>
      <c r="E4" s="21">
        <v>4.0</v>
      </c>
      <c r="F4" s="21">
        <v>0.0</v>
      </c>
      <c r="G4" s="21">
        <v>2.0</v>
      </c>
      <c r="H4" s="21" t="s">
        <v>51</v>
      </c>
      <c r="I4" s="21">
        <v>1.0</v>
      </c>
      <c r="J4" s="21">
        <v>3000.0</v>
      </c>
      <c r="K4" s="21">
        <v>35201.0</v>
      </c>
      <c r="L4" s="21">
        <v>1.0</v>
      </c>
      <c r="M4" s="21">
        <v>1.0</v>
      </c>
      <c r="N4" s="21">
        <v>9.0</v>
      </c>
      <c r="O4" s="21">
        <v>0.0</v>
      </c>
      <c r="P4" s="22">
        <v>0.0</v>
      </c>
      <c r="Q4" s="22">
        <v>147292.0</v>
      </c>
      <c r="R4" s="22">
        <v>147292.0</v>
      </c>
      <c r="S4" s="22">
        <v>147292.0</v>
      </c>
      <c r="T4" s="22">
        <v>147292.0</v>
      </c>
    </row>
    <row r="5">
      <c r="A5" s="21">
        <v>12.0</v>
      </c>
      <c r="B5" s="21" t="s">
        <v>22</v>
      </c>
      <c r="C5" s="21">
        <v>3.0</v>
      </c>
      <c r="D5" s="21">
        <v>8.0</v>
      </c>
      <c r="E5" s="21">
        <v>1.0</v>
      </c>
      <c r="F5" s="21">
        <v>0.0</v>
      </c>
      <c r="G5" s="21">
        <v>24.0</v>
      </c>
      <c r="H5" s="21" t="s">
        <v>42</v>
      </c>
      <c r="I5" s="21">
        <v>22.0</v>
      </c>
      <c r="J5" s="21">
        <v>3000.0</v>
      </c>
      <c r="K5" s="21">
        <v>35201.0</v>
      </c>
      <c r="L5" s="21">
        <v>1.0</v>
      </c>
      <c r="M5" s="21">
        <v>1.0</v>
      </c>
      <c r="N5" s="21">
        <v>9.0</v>
      </c>
      <c r="O5" s="21">
        <v>0.0</v>
      </c>
      <c r="P5" s="22">
        <v>398913.0</v>
      </c>
      <c r="Q5" s="22">
        <v>716783.0</v>
      </c>
      <c r="R5" s="22">
        <v>716783.0</v>
      </c>
      <c r="S5" s="22">
        <v>716783.0</v>
      </c>
      <c r="T5" s="22">
        <v>716783.0</v>
      </c>
    </row>
    <row r="6">
      <c r="A6" s="21">
        <v>12.0</v>
      </c>
      <c r="B6" s="21" t="s">
        <v>22</v>
      </c>
      <c r="C6" s="21">
        <v>2.0</v>
      </c>
      <c r="D6" s="21">
        <v>3.0</v>
      </c>
      <c r="E6" s="21">
        <v>2.0</v>
      </c>
      <c r="F6" s="21">
        <v>0.0</v>
      </c>
      <c r="G6" s="21">
        <v>18.0</v>
      </c>
      <c r="H6" s="21" t="s">
        <v>42</v>
      </c>
      <c r="I6" s="21">
        <v>23.0</v>
      </c>
      <c r="J6" s="21">
        <v>3000.0</v>
      </c>
      <c r="K6" s="21">
        <v>35201.0</v>
      </c>
      <c r="L6" s="21">
        <v>1.0</v>
      </c>
      <c r="M6" s="21">
        <v>4.0</v>
      </c>
      <c r="N6" s="21">
        <v>9.0</v>
      </c>
      <c r="O6" s="21">
        <v>0.0</v>
      </c>
      <c r="P6" s="22">
        <v>52000.0</v>
      </c>
      <c r="Q6" s="22">
        <v>52000.0</v>
      </c>
      <c r="R6" s="22">
        <v>7150.0</v>
      </c>
      <c r="S6" s="22">
        <v>7150.0</v>
      </c>
      <c r="T6" s="22">
        <v>7150.0</v>
      </c>
    </row>
    <row r="7">
      <c r="A7" s="21">
        <v>12.0</v>
      </c>
      <c r="B7" s="21" t="s">
        <v>22</v>
      </c>
      <c r="C7" s="21">
        <v>3.0</v>
      </c>
      <c r="D7" s="21">
        <v>8.0</v>
      </c>
      <c r="E7" s="21">
        <v>1.0</v>
      </c>
      <c r="F7" s="21">
        <v>0.0</v>
      </c>
      <c r="G7" s="21">
        <v>24.0</v>
      </c>
      <c r="H7" s="21" t="s">
        <v>42</v>
      </c>
      <c r="I7" s="21">
        <v>22.0</v>
      </c>
      <c r="J7" s="21">
        <v>3000.0</v>
      </c>
      <c r="K7" s="21">
        <v>35201.0</v>
      </c>
      <c r="L7" s="21">
        <v>1.0</v>
      </c>
      <c r="M7" s="21">
        <v>4.0</v>
      </c>
      <c r="N7" s="21">
        <v>9.0</v>
      </c>
      <c r="O7" s="21">
        <v>0.0</v>
      </c>
      <c r="P7" s="22">
        <v>52000.0</v>
      </c>
      <c r="Q7" s="22">
        <v>0.0</v>
      </c>
      <c r="R7" s="22">
        <v>0.0</v>
      </c>
      <c r="S7" s="22">
        <v>0.0</v>
      </c>
      <c r="T7" s="22">
        <v>0.0</v>
      </c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>
        <f t="shared" ref="P8:T8" si="1">SUM(P3:P7)</f>
        <v>911195</v>
      </c>
      <c r="Q8" s="22">
        <f t="shared" si="1"/>
        <v>1801934</v>
      </c>
      <c r="R8" s="23">
        <f t="shared" si="1"/>
        <v>1757084</v>
      </c>
      <c r="S8" s="23">
        <f t="shared" si="1"/>
        <v>1757084</v>
      </c>
      <c r="T8" s="23">
        <f t="shared" si="1"/>
        <v>1757084</v>
      </c>
    </row>
    <row r="9">
      <c r="T9" s="24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printOptions/>
  <pageMargins bottom="0.75" footer="0.0" header="0.0" left="0.7" right="0.7" top="0.75"/>
  <pageSetup scale="92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40</v>
      </c>
      <c r="B1" s="1" t="s">
        <v>41</v>
      </c>
    </row>
    <row r="2" hidden="1">
      <c r="A2" s="1">
        <v>11101.0</v>
      </c>
      <c r="B2" s="1" t="s">
        <v>43</v>
      </c>
    </row>
    <row r="3" hidden="1">
      <c r="A3" s="1">
        <v>11201.0</v>
      </c>
      <c r="B3" s="1" t="s">
        <v>44</v>
      </c>
    </row>
    <row r="4" hidden="1">
      <c r="A4" s="1">
        <v>11301.0</v>
      </c>
      <c r="B4" s="1" t="s">
        <v>45</v>
      </c>
    </row>
    <row r="5" hidden="1">
      <c r="A5" s="1">
        <v>11401.0</v>
      </c>
      <c r="B5" s="1" t="s">
        <v>46</v>
      </c>
    </row>
    <row r="6" hidden="1">
      <c r="A6" s="1">
        <v>12101.0</v>
      </c>
      <c r="B6" s="1" t="s">
        <v>47</v>
      </c>
    </row>
    <row r="7" hidden="1">
      <c r="A7" s="1">
        <v>12201.0</v>
      </c>
      <c r="B7" s="1" t="s">
        <v>48</v>
      </c>
    </row>
    <row r="8" hidden="1">
      <c r="A8" s="1">
        <v>12202.0</v>
      </c>
      <c r="B8" s="1" t="s">
        <v>49</v>
      </c>
    </row>
    <row r="9" hidden="1">
      <c r="A9" s="1">
        <v>12301.0</v>
      </c>
      <c r="B9" s="1" t="s">
        <v>50</v>
      </c>
    </row>
    <row r="10" hidden="1">
      <c r="A10" s="1">
        <v>12401.0</v>
      </c>
      <c r="B10" s="1" t="s">
        <v>52</v>
      </c>
    </row>
    <row r="11" hidden="1">
      <c r="A11" s="1">
        <v>13101.0</v>
      </c>
      <c r="B11" s="1" t="s">
        <v>53</v>
      </c>
    </row>
    <row r="12" hidden="1">
      <c r="A12" s="1">
        <v>13102.0</v>
      </c>
      <c r="B12" s="1" t="s">
        <v>54</v>
      </c>
    </row>
    <row r="13" hidden="1">
      <c r="A13" s="1">
        <v>13103.0</v>
      </c>
      <c r="B13" s="1" t="s">
        <v>55</v>
      </c>
    </row>
    <row r="14" hidden="1">
      <c r="A14" s="1">
        <v>13104.0</v>
      </c>
      <c r="B14" s="1" t="s">
        <v>56</v>
      </c>
    </row>
    <row r="15" hidden="1">
      <c r="A15" s="1">
        <v>13201.0</v>
      </c>
      <c r="B15" s="1" t="s">
        <v>57</v>
      </c>
    </row>
    <row r="16" hidden="1">
      <c r="A16" s="1">
        <v>13202.0</v>
      </c>
      <c r="B16" s="1" t="s">
        <v>58</v>
      </c>
    </row>
    <row r="17">
      <c r="A17" s="1">
        <v>13301.0</v>
      </c>
      <c r="B17" s="1" t="s">
        <v>59</v>
      </c>
    </row>
    <row r="18" hidden="1">
      <c r="A18" s="1">
        <v>13401.0</v>
      </c>
      <c r="B18" s="1" t="s">
        <v>60</v>
      </c>
    </row>
    <row r="19" hidden="1">
      <c r="A19" s="1">
        <v>13402.0</v>
      </c>
      <c r="B19" s="1" t="s">
        <v>61</v>
      </c>
    </row>
    <row r="20" hidden="1">
      <c r="A20" s="1">
        <v>13403.0</v>
      </c>
      <c r="B20" s="1" t="s">
        <v>62</v>
      </c>
    </row>
    <row r="21" ht="15.75" hidden="1" customHeight="1">
      <c r="A21" s="1">
        <v>13404.0</v>
      </c>
      <c r="B21" s="1" t="s">
        <v>63</v>
      </c>
    </row>
    <row r="22" ht="15.75" hidden="1" customHeight="1">
      <c r="A22" s="1">
        <v>13405.0</v>
      </c>
      <c r="B22" s="1" t="s">
        <v>64</v>
      </c>
    </row>
    <row r="23" ht="15.75" hidden="1" customHeight="1">
      <c r="A23" s="1">
        <v>13406.0</v>
      </c>
      <c r="B23" s="1" t="s">
        <v>65</v>
      </c>
    </row>
    <row r="24" ht="15.75" hidden="1" customHeight="1">
      <c r="A24" s="1">
        <v>13407.0</v>
      </c>
      <c r="B24" s="1" t="s">
        <v>66</v>
      </c>
    </row>
    <row r="25" ht="15.75" hidden="1" customHeight="1">
      <c r="A25" s="1">
        <v>13408.0</v>
      </c>
      <c r="B25" s="1" t="s">
        <v>67</v>
      </c>
    </row>
    <row r="26" ht="15.75" hidden="1" customHeight="1">
      <c r="A26" s="1">
        <v>13409.0</v>
      </c>
      <c r="B26" s="1" t="s">
        <v>68</v>
      </c>
    </row>
    <row r="27" ht="15.75" hidden="1" customHeight="1">
      <c r="A27" s="1">
        <v>13410.0</v>
      </c>
      <c r="B27" s="1" t="s">
        <v>69</v>
      </c>
    </row>
    <row r="28" ht="15.75" hidden="1" customHeight="1">
      <c r="A28" s="1">
        <v>13411.0</v>
      </c>
      <c r="B28" s="1" t="s">
        <v>70</v>
      </c>
    </row>
    <row r="29" ht="15.75" hidden="1" customHeight="1">
      <c r="A29" s="1">
        <v>13412.0</v>
      </c>
      <c r="B29" s="1" t="s">
        <v>71</v>
      </c>
    </row>
    <row r="30" ht="15.75" hidden="1" customHeight="1">
      <c r="A30" s="1">
        <v>13413.0</v>
      </c>
      <c r="B30" s="1" t="s">
        <v>72</v>
      </c>
    </row>
    <row r="31" ht="15.75" hidden="1" customHeight="1">
      <c r="A31" s="1">
        <v>13414.0</v>
      </c>
      <c r="B31" s="1" t="s">
        <v>73</v>
      </c>
    </row>
    <row r="32" ht="15.75" hidden="1" customHeight="1">
      <c r="A32" s="1">
        <v>13501.0</v>
      </c>
      <c r="B32" s="1" t="s">
        <v>74</v>
      </c>
    </row>
    <row r="33" ht="15.75" hidden="1" customHeight="1">
      <c r="A33" s="1">
        <v>13601.0</v>
      </c>
      <c r="B33" s="1" t="s">
        <v>75</v>
      </c>
    </row>
    <row r="34" ht="15.75" hidden="1" customHeight="1">
      <c r="A34" s="1">
        <v>13602.0</v>
      </c>
      <c r="B34" s="1" t="s">
        <v>76</v>
      </c>
    </row>
    <row r="35" ht="15.75" hidden="1" customHeight="1">
      <c r="A35" s="1">
        <v>13603.0</v>
      </c>
      <c r="B35" s="1" t="s">
        <v>77</v>
      </c>
    </row>
    <row r="36" ht="15.75" hidden="1" customHeight="1">
      <c r="A36" s="1">
        <v>13604.0</v>
      </c>
      <c r="B36" s="1" t="s">
        <v>78</v>
      </c>
    </row>
    <row r="37" ht="15.75" hidden="1" customHeight="1">
      <c r="A37" s="1">
        <v>13605.0</v>
      </c>
      <c r="B37" s="1" t="s">
        <v>79</v>
      </c>
    </row>
    <row r="38" ht="15.75" hidden="1" customHeight="1">
      <c r="A38" s="1">
        <v>13701.0</v>
      </c>
      <c r="B38" s="1" t="s">
        <v>80</v>
      </c>
    </row>
    <row r="39" ht="15.75" hidden="1" customHeight="1">
      <c r="A39" s="1">
        <v>13801.0</v>
      </c>
      <c r="B39" s="1" t="s">
        <v>81</v>
      </c>
    </row>
    <row r="40" ht="15.75" hidden="1" customHeight="1">
      <c r="A40" s="1">
        <v>14101.0</v>
      </c>
      <c r="B40" s="1" t="s">
        <v>82</v>
      </c>
    </row>
    <row r="41" ht="15.75" hidden="1" customHeight="1">
      <c r="A41" s="1">
        <v>14102.0</v>
      </c>
      <c r="B41" s="1" t="s">
        <v>83</v>
      </c>
    </row>
    <row r="42" ht="15.75" hidden="1" customHeight="1">
      <c r="A42" s="1">
        <v>14103.0</v>
      </c>
      <c r="B42" s="1" t="s">
        <v>84</v>
      </c>
    </row>
    <row r="43" ht="15.75" hidden="1" customHeight="1">
      <c r="A43" s="1">
        <v>14104.0</v>
      </c>
      <c r="B43" s="1" t="s">
        <v>85</v>
      </c>
    </row>
    <row r="44" ht="15.75" hidden="1" customHeight="1">
      <c r="A44" s="1">
        <v>14105.0</v>
      </c>
      <c r="B44" s="1" t="s">
        <v>86</v>
      </c>
    </row>
    <row r="45" ht="15.75" hidden="1" customHeight="1">
      <c r="A45" s="1">
        <v>14201.0</v>
      </c>
      <c r="B45" s="1" t="s">
        <v>87</v>
      </c>
    </row>
    <row r="46" ht="15.75" hidden="1" customHeight="1">
      <c r="A46" s="1">
        <v>14202.0</v>
      </c>
      <c r="B46" s="1" t="s">
        <v>88</v>
      </c>
    </row>
    <row r="47" ht="15.75" hidden="1" customHeight="1">
      <c r="A47" s="1">
        <v>14301.0</v>
      </c>
      <c r="B47" s="1" t="s">
        <v>89</v>
      </c>
    </row>
    <row r="48" ht="15.75" hidden="1" customHeight="1">
      <c r="A48" s="1">
        <v>14302.0</v>
      </c>
      <c r="B48" s="1" t="s">
        <v>90</v>
      </c>
    </row>
    <row r="49" ht="15.75" hidden="1" customHeight="1">
      <c r="A49" s="1">
        <v>14401.0</v>
      </c>
      <c r="B49" s="1" t="s">
        <v>91</v>
      </c>
    </row>
    <row r="50" ht="15.75" hidden="1" customHeight="1">
      <c r="A50" s="1">
        <v>14402.0</v>
      </c>
      <c r="B50" s="1" t="s">
        <v>92</v>
      </c>
    </row>
    <row r="51" ht="15.75" hidden="1" customHeight="1">
      <c r="A51" s="1">
        <v>14403.0</v>
      </c>
      <c r="B51" s="1" t="s">
        <v>93</v>
      </c>
    </row>
    <row r="52" ht="15.75" hidden="1" customHeight="1">
      <c r="A52" s="1">
        <v>14404.0</v>
      </c>
      <c r="B52" s="1" t="s">
        <v>94</v>
      </c>
    </row>
    <row r="53" ht="15.75" hidden="1" customHeight="1">
      <c r="A53" s="1">
        <v>14405.0</v>
      </c>
      <c r="B53" s="1" t="s">
        <v>95</v>
      </c>
    </row>
    <row r="54" ht="15.75" hidden="1" customHeight="1">
      <c r="A54" s="1">
        <v>14406.0</v>
      </c>
      <c r="B54" s="1" t="s">
        <v>96</v>
      </c>
    </row>
    <row r="55" ht="15.75" hidden="1" customHeight="1">
      <c r="A55" s="1">
        <v>15101.0</v>
      </c>
      <c r="B55" s="1" t="s">
        <v>98</v>
      </c>
    </row>
    <row r="56" ht="15.75" hidden="1" customHeight="1">
      <c r="A56" s="1">
        <v>15102.0</v>
      </c>
      <c r="B56" s="1" t="s">
        <v>99</v>
      </c>
    </row>
    <row r="57" ht="15.75" hidden="1" customHeight="1">
      <c r="A57" s="1">
        <v>15103.0</v>
      </c>
      <c r="B57" s="1" t="s">
        <v>100</v>
      </c>
    </row>
    <row r="58" ht="15.75" hidden="1" customHeight="1">
      <c r="A58" s="1">
        <v>15201.0</v>
      </c>
      <c r="B58" s="1" t="s">
        <v>101</v>
      </c>
    </row>
    <row r="59" ht="15.75" hidden="1" customHeight="1">
      <c r="A59" s="1">
        <v>15202.0</v>
      </c>
      <c r="B59" s="1" t="s">
        <v>102</v>
      </c>
    </row>
    <row r="60" ht="15.75" hidden="1" customHeight="1">
      <c r="A60" s="1">
        <v>15301.0</v>
      </c>
      <c r="B60" s="1" t="s">
        <v>103</v>
      </c>
    </row>
    <row r="61" ht="15.75" hidden="1" customHeight="1">
      <c r="A61" s="1">
        <v>15401.0</v>
      </c>
      <c r="B61" s="1" t="s">
        <v>104</v>
      </c>
    </row>
    <row r="62" ht="15.75" hidden="1" customHeight="1">
      <c r="A62" s="1">
        <v>15402.0</v>
      </c>
      <c r="B62" s="1" t="s">
        <v>105</v>
      </c>
    </row>
    <row r="63" ht="15.75" hidden="1" customHeight="1">
      <c r="A63" s="1">
        <v>15403.0</v>
      </c>
      <c r="B63" s="1" t="s">
        <v>106</v>
      </c>
    </row>
    <row r="64" ht="15.75" hidden="1" customHeight="1">
      <c r="A64" s="1">
        <v>15501.0</v>
      </c>
      <c r="B64" s="1" t="s">
        <v>107</v>
      </c>
    </row>
    <row r="65" ht="15.75" hidden="1" customHeight="1">
      <c r="A65" s="1">
        <v>15901.0</v>
      </c>
      <c r="B65" s="1" t="s">
        <v>108</v>
      </c>
    </row>
    <row r="66" ht="15.75" hidden="1" customHeight="1">
      <c r="A66" s="1">
        <v>15902.0</v>
      </c>
      <c r="B66" s="1" t="s">
        <v>109</v>
      </c>
    </row>
    <row r="67" ht="15.75" hidden="1" customHeight="1">
      <c r="A67" s="1">
        <v>16101.0</v>
      </c>
      <c r="B67" s="1" t="s">
        <v>110</v>
      </c>
    </row>
    <row r="68" ht="15.75" hidden="1" customHeight="1">
      <c r="A68" s="1">
        <v>16102.0</v>
      </c>
      <c r="B68" s="1" t="s">
        <v>111</v>
      </c>
    </row>
    <row r="69" ht="15.75" hidden="1" customHeight="1">
      <c r="A69" s="1">
        <v>16103.0</v>
      </c>
      <c r="B69" s="1" t="s">
        <v>112</v>
      </c>
    </row>
    <row r="70" ht="15.75" hidden="1" customHeight="1">
      <c r="A70" s="1">
        <v>16104.0</v>
      </c>
      <c r="B70" s="1" t="s">
        <v>113</v>
      </c>
    </row>
    <row r="71" ht="15.75" hidden="1" customHeight="1">
      <c r="A71" s="1">
        <v>16105.0</v>
      </c>
      <c r="B71" s="1" t="s">
        <v>114</v>
      </c>
    </row>
    <row r="72" ht="15.75" hidden="1" customHeight="1">
      <c r="A72" s="1">
        <v>16106.0</v>
      </c>
      <c r="B72" s="1" t="s">
        <v>115</v>
      </c>
    </row>
    <row r="73" ht="15.75" hidden="1" customHeight="1">
      <c r="A73" s="1">
        <v>16107.0</v>
      </c>
      <c r="B73" s="1" t="s">
        <v>116</v>
      </c>
    </row>
    <row r="74" ht="15.75" hidden="1" customHeight="1">
      <c r="A74" s="1">
        <v>16108.0</v>
      </c>
      <c r="B74" s="1" t="s">
        <v>117</v>
      </c>
    </row>
    <row r="75" ht="15.75" hidden="1" customHeight="1">
      <c r="A75" s="1">
        <v>17101.0</v>
      </c>
      <c r="B75" s="1" t="s">
        <v>118</v>
      </c>
    </row>
    <row r="76" ht="15.75" hidden="1" customHeight="1">
      <c r="A76" s="1">
        <v>17102.0</v>
      </c>
      <c r="B76" s="1" t="s">
        <v>119</v>
      </c>
    </row>
    <row r="77" ht="15.75" hidden="1" customHeight="1">
      <c r="A77" s="1">
        <v>21101.0</v>
      </c>
      <c r="B77" s="1" t="s">
        <v>120</v>
      </c>
    </row>
    <row r="78" ht="15.75" hidden="1" customHeight="1">
      <c r="A78" s="1">
        <v>21199.0</v>
      </c>
      <c r="B78" s="1" t="s">
        <v>121</v>
      </c>
    </row>
    <row r="79" ht="15.75" hidden="1" customHeight="1">
      <c r="A79" s="1">
        <v>21201.0</v>
      </c>
      <c r="B79" s="1" t="s">
        <v>122</v>
      </c>
    </row>
    <row r="80" ht="15.75" hidden="1" customHeight="1">
      <c r="A80" s="1">
        <v>21301.0</v>
      </c>
      <c r="B80" s="1" t="s">
        <v>123</v>
      </c>
    </row>
    <row r="81" ht="15.75" hidden="1" customHeight="1">
      <c r="A81" s="1">
        <v>21401.0</v>
      </c>
      <c r="B81" s="1" t="s">
        <v>124</v>
      </c>
    </row>
    <row r="82" ht="15.75" hidden="1" customHeight="1">
      <c r="A82" s="1">
        <v>21501.0</v>
      </c>
      <c r="B82" s="1" t="s">
        <v>125</v>
      </c>
    </row>
    <row r="83" ht="15.75" hidden="1" customHeight="1">
      <c r="A83" s="1">
        <v>21502.0</v>
      </c>
      <c r="B83" s="1" t="s">
        <v>126</v>
      </c>
    </row>
    <row r="84" ht="15.75" hidden="1" customHeight="1">
      <c r="A84" s="1">
        <v>21601.0</v>
      </c>
      <c r="B84" s="1" t="s">
        <v>127</v>
      </c>
    </row>
    <row r="85" ht="15.75" hidden="1" customHeight="1">
      <c r="A85" s="1">
        <v>21701.0</v>
      </c>
      <c r="B85" s="1" t="s">
        <v>128</v>
      </c>
    </row>
    <row r="86" ht="15.75" hidden="1" customHeight="1">
      <c r="A86" s="1">
        <v>22101.0</v>
      </c>
      <c r="B86" s="1" t="s">
        <v>129</v>
      </c>
    </row>
    <row r="87" ht="15.75" hidden="1" customHeight="1">
      <c r="A87" s="1">
        <v>22102.0</v>
      </c>
      <c r="B87" s="1" t="s">
        <v>130</v>
      </c>
    </row>
    <row r="88" ht="15.75" hidden="1" customHeight="1">
      <c r="A88" s="1">
        <v>22103.0</v>
      </c>
      <c r="B88" s="1" t="s">
        <v>131</v>
      </c>
    </row>
    <row r="89" ht="15.75" hidden="1" customHeight="1">
      <c r="A89" s="1">
        <v>22104.0</v>
      </c>
      <c r="B89" s="1" t="s">
        <v>132</v>
      </c>
    </row>
    <row r="90" ht="15.75" hidden="1" customHeight="1">
      <c r="A90" s="1">
        <v>22105.0</v>
      </c>
      <c r="B90" s="1" t="s">
        <v>133</v>
      </c>
    </row>
    <row r="91" ht="15.75" hidden="1" customHeight="1">
      <c r="A91" s="1">
        <v>22106.0</v>
      </c>
      <c r="B91" s="1" t="s">
        <v>134</v>
      </c>
    </row>
    <row r="92" ht="15.75" hidden="1" customHeight="1">
      <c r="A92" s="1">
        <v>22199.0</v>
      </c>
      <c r="B92" s="1" t="s">
        <v>135</v>
      </c>
    </row>
    <row r="93" ht="15.75" hidden="1" customHeight="1">
      <c r="A93" s="1">
        <v>22201.0</v>
      </c>
      <c r="B93" s="1" t="s">
        <v>136</v>
      </c>
    </row>
    <row r="94" ht="15.75" hidden="1" customHeight="1">
      <c r="A94" s="1">
        <v>22301.0</v>
      </c>
      <c r="B94" s="1" t="s">
        <v>137</v>
      </c>
    </row>
    <row r="95" ht="15.75" hidden="1" customHeight="1">
      <c r="A95" s="1">
        <v>23101.0</v>
      </c>
      <c r="B95" s="1" t="s">
        <v>138</v>
      </c>
    </row>
    <row r="96" ht="15.75" hidden="1" customHeight="1">
      <c r="A96" s="1">
        <v>23199.0</v>
      </c>
      <c r="B96" s="1" t="s">
        <v>139</v>
      </c>
    </row>
    <row r="97" ht="15.75" hidden="1" customHeight="1">
      <c r="A97" s="1">
        <v>23201.0</v>
      </c>
      <c r="B97" s="1" t="s">
        <v>140</v>
      </c>
    </row>
    <row r="98" ht="15.75" customHeight="1">
      <c r="A98" s="1">
        <v>23301.0</v>
      </c>
      <c r="B98" s="1" t="s">
        <v>141</v>
      </c>
    </row>
    <row r="99" ht="15.75" hidden="1" customHeight="1">
      <c r="A99" s="1">
        <v>23401.0</v>
      </c>
      <c r="B99" s="1" t="s">
        <v>142</v>
      </c>
    </row>
    <row r="100" ht="15.75" hidden="1" customHeight="1">
      <c r="A100" s="1">
        <v>23501.0</v>
      </c>
      <c r="B100" s="1" t="s">
        <v>143</v>
      </c>
    </row>
    <row r="101" ht="15.75" hidden="1" customHeight="1">
      <c r="A101" s="1">
        <v>23601.0</v>
      </c>
      <c r="B101" s="1" t="s">
        <v>144</v>
      </c>
    </row>
    <row r="102" ht="15.75" hidden="1" customHeight="1">
      <c r="A102" s="1">
        <v>23701.0</v>
      </c>
      <c r="B102" s="1" t="s">
        <v>145</v>
      </c>
    </row>
    <row r="103" ht="15.75" hidden="1" customHeight="1">
      <c r="A103" s="1">
        <v>23801.0</v>
      </c>
      <c r="B103" s="1" t="s">
        <v>146</v>
      </c>
    </row>
    <row r="104" ht="15.75" hidden="1" customHeight="1">
      <c r="A104" s="1">
        <v>23901.0</v>
      </c>
      <c r="B104" s="1" t="s">
        <v>147</v>
      </c>
    </row>
    <row r="105" ht="15.75" hidden="1" customHeight="1">
      <c r="A105" s="1">
        <v>23902.0</v>
      </c>
      <c r="B105" s="1" t="s">
        <v>148</v>
      </c>
    </row>
    <row r="106" ht="15.75" hidden="1" customHeight="1">
      <c r="A106" s="1">
        <v>24101.0</v>
      </c>
      <c r="B106" s="1" t="s">
        <v>149</v>
      </c>
    </row>
    <row r="107" ht="15.75" hidden="1" customHeight="1">
      <c r="A107" s="1">
        <v>24199.0</v>
      </c>
      <c r="B107" s="1" t="s">
        <v>150</v>
      </c>
    </row>
    <row r="108" ht="15.75" hidden="1" customHeight="1">
      <c r="A108" s="1">
        <v>24201.0</v>
      </c>
      <c r="B108" s="1" t="s">
        <v>151</v>
      </c>
    </row>
    <row r="109" ht="15.75" hidden="1" customHeight="1">
      <c r="A109" s="1">
        <v>24301.0</v>
      </c>
      <c r="B109" s="1" t="s">
        <v>152</v>
      </c>
    </row>
    <row r="110" ht="15.75" hidden="1" customHeight="1">
      <c r="A110" s="1">
        <v>24401.0</v>
      </c>
      <c r="B110" s="1" t="s">
        <v>153</v>
      </c>
    </row>
    <row r="111" ht="15.75" hidden="1" customHeight="1">
      <c r="A111" s="1">
        <v>24501.0</v>
      </c>
      <c r="B111" s="1" t="s">
        <v>154</v>
      </c>
    </row>
    <row r="112" ht="15.75" hidden="1" customHeight="1">
      <c r="A112" s="1">
        <v>24601.0</v>
      </c>
      <c r="B112" s="1" t="s">
        <v>155</v>
      </c>
    </row>
    <row r="113" ht="15.75" hidden="1" customHeight="1">
      <c r="A113" s="1">
        <v>24701.0</v>
      </c>
      <c r="B113" s="1" t="s">
        <v>156</v>
      </c>
    </row>
    <row r="114" ht="15.75" hidden="1" customHeight="1">
      <c r="A114" s="1">
        <v>24801.0</v>
      </c>
      <c r="B114" s="1" t="s">
        <v>157</v>
      </c>
    </row>
    <row r="115" ht="15.75" hidden="1" customHeight="1">
      <c r="A115" s="1">
        <v>24901.0</v>
      </c>
      <c r="B115" s="1" t="s">
        <v>158</v>
      </c>
    </row>
    <row r="116" ht="15.75" hidden="1" customHeight="1">
      <c r="A116" s="1">
        <v>25101.0</v>
      </c>
      <c r="B116" s="1" t="s">
        <v>159</v>
      </c>
    </row>
    <row r="117" ht="15.75" hidden="1" customHeight="1">
      <c r="A117" s="1">
        <v>25199.0</v>
      </c>
      <c r="B117" s="1" t="s">
        <v>160</v>
      </c>
    </row>
    <row r="118" ht="15.75" hidden="1" customHeight="1">
      <c r="A118" s="1">
        <v>25201.0</v>
      </c>
      <c r="B118" s="1" t="s">
        <v>161</v>
      </c>
    </row>
    <row r="119" ht="15.75" hidden="1" customHeight="1">
      <c r="A119" s="1">
        <v>25301.0</v>
      </c>
      <c r="B119" s="1" t="s">
        <v>162</v>
      </c>
    </row>
    <row r="120" ht="15.75" hidden="1" customHeight="1">
      <c r="A120" s="1">
        <v>25401.0</v>
      </c>
      <c r="B120" s="1" t="s">
        <v>163</v>
      </c>
    </row>
    <row r="121" ht="15.75" hidden="1" customHeight="1">
      <c r="A121" s="1">
        <v>25501.0</v>
      </c>
      <c r="B121" s="1" t="s">
        <v>164</v>
      </c>
    </row>
    <row r="122" ht="15.75" hidden="1" customHeight="1">
      <c r="A122" s="1">
        <v>25901.0</v>
      </c>
      <c r="B122" s="1" t="s">
        <v>165</v>
      </c>
    </row>
    <row r="123" ht="15.75" hidden="1" customHeight="1">
      <c r="A123" s="1">
        <v>26101.0</v>
      </c>
      <c r="B123" s="1" t="s">
        <v>166</v>
      </c>
    </row>
    <row r="124" ht="15.75" hidden="1" customHeight="1">
      <c r="A124" s="1">
        <v>26102.0</v>
      </c>
      <c r="B124" s="1" t="s">
        <v>167</v>
      </c>
    </row>
    <row r="125" ht="15.75" hidden="1" customHeight="1">
      <c r="A125" s="1">
        <v>26103.0</v>
      </c>
      <c r="B125" s="1" t="s">
        <v>168</v>
      </c>
    </row>
    <row r="126" ht="15.75" hidden="1" customHeight="1">
      <c r="A126" s="1">
        <v>26104.0</v>
      </c>
      <c r="B126" s="1" t="s">
        <v>169</v>
      </c>
    </row>
    <row r="127" ht="15.75" hidden="1" customHeight="1">
      <c r="A127" s="1">
        <v>26105.0</v>
      </c>
      <c r="B127" s="1" t="s">
        <v>170</v>
      </c>
    </row>
    <row r="128" ht="15.75" hidden="1" customHeight="1">
      <c r="A128" s="1">
        <v>26106.0</v>
      </c>
      <c r="B128" s="1" t="s">
        <v>171</v>
      </c>
    </row>
    <row r="129" ht="15.75" hidden="1" customHeight="1">
      <c r="A129" s="1">
        <v>26107.0</v>
      </c>
      <c r="B129" s="1" t="s">
        <v>172</v>
      </c>
    </row>
    <row r="130" ht="15.75" hidden="1" customHeight="1">
      <c r="A130" s="1">
        <v>26108.0</v>
      </c>
      <c r="B130" s="1" t="s">
        <v>173</v>
      </c>
    </row>
    <row r="131" ht="15.75" hidden="1" customHeight="1">
      <c r="A131" s="1">
        <v>26199.0</v>
      </c>
      <c r="B131" s="1" t="s">
        <v>174</v>
      </c>
    </row>
    <row r="132" ht="15.75" hidden="1" customHeight="1">
      <c r="A132" s="1">
        <v>27101.0</v>
      </c>
      <c r="B132" s="1" t="s">
        <v>175</v>
      </c>
    </row>
    <row r="133" ht="15.75" hidden="1" customHeight="1">
      <c r="A133" s="1">
        <v>27199.0</v>
      </c>
      <c r="B133" s="1" t="s">
        <v>176</v>
      </c>
    </row>
    <row r="134" ht="15.75" hidden="1" customHeight="1">
      <c r="A134" s="1">
        <v>27201.0</v>
      </c>
      <c r="B134" s="1" t="s">
        <v>177</v>
      </c>
    </row>
    <row r="135" ht="15.75" hidden="1" customHeight="1">
      <c r="A135" s="1">
        <v>27301.0</v>
      </c>
      <c r="B135" s="1" t="s">
        <v>178</v>
      </c>
    </row>
    <row r="136" ht="15.75" hidden="1" customHeight="1">
      <c r="A136" s="1">
        <v>27401.0</v>
      </c>
      <c r="B136" s="1" t="s">
        <v>179</v>
      </c>
    </row>
    <row r="137" ht="15.75" hidden="1" customHeight="1">
      <c r="A137" s="1">
        <v>27501.0</v>
      </c>
      <c r="B137" s="1" t="s">
        <v>180</v>
      </c>
    </row>
    <row r="138" ht="15.75" hidden="1" customHeight="1">
      <c r="A138" s="1">
        <v>28101.0</v>
      </c>
      <c r="B138" s="1" t="s">
        <v>181</v>
      </c>
    </row>
    <row r="139" ht="15.75" hidden="1" customHeight="1">
      <c r="A139" s="1">
        <v>28199.0</v>
      </c>
      <c r="B139" s="1" t="s">
        <v>182</v>
      </c>
    </row>
    <row r="140" ht="15.75" hidden="1" customHeight="1">
      <c r="A140" s="1">
        <v>28201.0</v>
      </c>
      <c r="B140" s="1" t="s">
        <v>183</v>
      </c>
    </row>
    <row r="141" ht="15.75" hidden="1" customHeight="1">
      <c r="A141" s="1">
        <v>28301.0</v>
      </c>
      <c r="B141" s="1" t="s">
        <v>184</v>
      </c>
    </row>
    <row r="142" ht="15.75" hidden="1" customHeight="1">
      <c r="A142" s="1">
        <v>29101.0</v>
      </c>
      <c r="B142" s="1" t="s">
        <v>185</v>
      </c>
    </row>
    <row r="143" ht="15.75" hidden="1" customHeight="1">
      <c r="A143" s="1">
        <v>29199.0</v>
      </c>
      <c r="B143" s="1" t="s">
        <v>186</v>
      </c>
    </row>
    <row r="144" ht="15.75" hidden="1" customHeight="1">
      <c r="A144" s="1">
        <v>29201.0</v>
      </c>
      <c r="B144" s="1" t="s">
        <v>187</v>
      </c>
    </row>
    <row r="145" ht="15.75" hidden="1" customHeight="1">
      <c r="A145" s="1">
        <v>29301.0</v>
      </c>
      <c r="B145" s="1" t="s">
        <v>188</v>
      </c>
    </row>
    <row r="146" ht="15.75" hidden="1" customHeight="1">
      <c r="A146" s="1">
        <v>29401.0</v>
      </c>
      <c r="B146" s="1" t="s">
        <v>189</v>
      </c>
    </row>
    <row r="147" ht="15.75" hidden="1" customHeight="1">
      <c r="A147" s="1">
        <v>29501.0</v>
      </c>
      <c r="B147" s="1" t="s">
        <v>190</v>
      </c>
    </row>
    <row r="148" ht="15.75" hidden="1" customHeight="1">
      <c r="A148" s="1">
        <v>29601.0</v>
      </c>
      <c r="B148" s="1" t="s">
        <v>191</v>
      </c>
    </row>
    <row r="149" ht="15.75" hidden="1" customHeight="1">
      <c r="A149" s="1">
        <v>29701.0</v>
      </c>
      <c r="B149" s="1" t="s">
        <v>192</v>
      </c>
    </row>
    <row r="150" ht="15.75" hidden="1" customHeight="1">
      <c r="A150" s="1">
        <v>29801.0</v>
      </c>
      <c r="B150" s="1" t="s">
        <v>193</v>
      </c>
    </row>
    <row r="151" ht="15.75" hidden="1" customHeight="1">
      <c r="A151" s="1">
        <v>29901.0</v>
      </c>
      <c r="B151" s="1" t="s">
        <v>194</v>
      </c>
    </row>
    <row r="152" ht="15.75" hidden="1" customHeight="1">
      <c r="A152" s="1">
        <v>31101.0</v>
      </c>
      <c r="B152" s="1" t="s">
        <v>195</v>
      </c>
    </row>
    <row r="153" ht="15.75" hidden="1" customHeight="1">
      <c r="A153" s="1">
        <v>31199.0</v>
      </c>
      <c r="B153" s="1" t="s">
        <v>196</v>
      </c>
    </row>
    <row r="154" ht="15.75" hidden="1" customHeight="1">
      <c r="A154" s="1">
        <v>31201.0</v>
      </c>
      <c r="B154" s="1" t="s">
        <v>197</v>
      </c>
    </row>
    <row r="155" ht="15.75" hidden="1" customHeight="1">
      <c r="A155" s="1">
        <v>31301.0</v>
      </c>
      <c r="B155" s="1" t="s">
        <v>198</v>
      </c>
    </row>
    <row r="156" ht="15.75" hidden="1" customHeight="1">
      <c r="A156" s="1">
        <v>31401.0</v>
      </c>
      <c r="B156" s="1" t="s">
        <v>199</v>
      </c>
    </row>
    <row r="157" ht="15.75" hidden="1" customHeight="1">
      <c r="A157" s="1">
        <v>31501.0</v>
      </c>
      <c r="B157" s="1" t="s">
        <v>200</v>
      </c>
    </row>
    <row r="158" ht="15.75" hidden="1" customHeight="1">
      <c r="A158" s="1">
        <v>31601.0</v>
      </c>
      <c r="B158" s="1" t="s">
        <v>201</v>
      </c>
    </row>
    <row r="159" ht="15.75" hidden="1" customHeight="1">
      <c r="A159" s="1">
        <v>31602.0</v>
      </c>
      <c r="B159" s="1" t="s">
        <v>202</v>
      </c>
    </row>
    <row r="160" ht="15.75" hidden="1" customHeight="1">
      <c r="A160" s="1">
        <v>31603.0</v>
      </c>
      <c r="B160" s="1" t="s">
        <v>203</v>
      </c>
    </row>
    <row r="161" ht="15.75" hidden="1" customHeight="1">
      <c r="A161" s="1">
        <v>31701.0</v>
      </c>
      <c r="B161" s="1" t="s">
        <v>204</v>
      </c>
    </row>
    <row r="162" ht="15.75" hidden="1" customHeight="1">
      <c r="A162" s="1">
        <v>31801.0</v>
      </c>
      <c r="B162" s="1" t="s">
        <v>205</v>
      </c>
    </row>
    <row r="163" ht="15.75" hidden="1" customHeight="1">
      <c r="A163" s="1">
        <v>31802.0</v>
      </c>
      <c r="B163" s="1" t="s">
        <v>206</v>
      </c>
    </row>
    <row r="164" ht="15.75" hidden="1" customHeight="1">
      <c r="A164" s="1">
        <v>31901.0</v>
      </c>
      <c r="B164" s="1" t="s">
        <v>207</v>
      </c>
    </row>
    <row r="165" ht="15.75" hidden="1" customHeight="1">
      <c r="A165" s="1">
        <v>31902.0</v>
      </c>
      <c r="B165" s="1" t="s">
        <v>208</v>
      </c>
    </row>
    <row r="166" ht="15.75" hidden="1" customHeight="1">
      <c r="A166" s="1">
        <v>31903.0</v>
      </c>
      <c r="B166" s="1" t="s">
        <v>209</v>
      </c>
    </row>
    <row r="167" ht="15.75" hidden="1" customHeight="1">
      <c r="A167" s="1">
        <v>31904.0</v>
      </c>
      <c r="B167" s="1" t="s">
        <v>210</v>
      </c>
    </row>
    <row r="168" ht="15.75" hidden="1" customHeight="1">
      <c r="A168" s="1">
        <v>32101.0</v>
      </c>
      <c r="B168" s="1" t="s">
        <v>211</v>
      </c>
    </row>
    <row r="169" ht="15.75" hidden="1" customHeight="1">
      <c r="A169" s="1">
        <v>32199.0</v>
      </c>
      <c r="B169" s="1" t="s">
        <v>212</v>
      </c>
    </row>
    <row r="170" ht="15.75" hidden="1" customHeight="1">
      <c r="A170" s="1">
        <v>32201.0</v>
      </c>
      <c r="B170" s="1" t="s">
        <v>213</v>
      </c>
    </row>
    <row r="171" ht="15.75" hidden="1" customHeight="1">
      <c r="A171" s="1">
        <v>32301.0</v>
      </c>
      <c r="B171" s="1" t="s">
        <v>214</v>
      </c>
    </row>
    <row r="172" ht="15.75" hidden="1" customHeight="1">
      <c r="A172" s="1">
        <v>32302.0</v>
      </c>
      <c r="B172" s="1" t="s">
        <v>215</v>
      </c>
    </row>
    <row r="173" ht="15.75" hidden="1" customHeight="1">
      <c r="A173" s="1">
        <v>32303.0</v>
      </c>
      <c r="B173" s="1" t="s">
        <v>216</v>
      </c>
    </row>
    <row r="174" ht="15.75" hidden="1" customHeight="1">
      <c r="A174" s="1">
        <v>32401.0</v>
      </c>
      <c r="B174" s="1" t="s">
        <v>217</v>
      </c>
    </row>
    <row r="175" ht="15.75" hidden="1" customHeight="1">
      <c r="A175" s="1">
        <v>32501.0</v>
      </c>
      <c r="B175" s="1" t="s">
        <v>218</v>
      </c>
    </row>
    <row r="176" ht="15.75" hidden="1" customHeight="1">
      <c r="A176" s="1">
        <v>32502.0</v>
      </c>
      <c r="B176" s="1" t="s">
        <v>219</v>
      </c>
    </row>
    <row r="177" ht="15.75" hidden="1" customHeight="1">
      <c r="A177" s="1">
        <v>32503.0</v>
      </c>
      <c r="B177" s="1" t="s">
        <v>220</v>
      </c>
    </row>
    <row r="178" ht="15.75" hidden="1" customHeight="1">
      <c r="A178" s="1">
        <v>32504.0</v>
      </c>
      <c r="B178" s="1" t="s">
        <v>221</v>
      </c>
    </row>
    <row r="179" ht="15.75" hidden="1" customHeight="1">
      <c r="A179" s="1">
        <v>32505.0</v>
      </c>
      <c r="B179" s="1" t="s">
        <v>222</v>
      </c>
    </row>
    <row r="180" ht="15.75" hidden="1" customHeight="1">
      <c r="A180" s="1">
        <v>32601.0</v>
      </c>
      <c r="B180" s="1" t="s">
        <v>223</v>
      </c>
    </row>
    <row r="181" ht="15.75" hidden="1" customHeight="1">
      <c r="A181" s="1">
        <v>32701.0</v>
      </c>
      <c r="B181" s="1" t="s">
        <v>224</v>
      </c>
    </row>
    <row r="182" ht="15.75" hidden="1" customHeight="1">
      <c r="A182" s="1">
        <v>32901.0</v>
      </c>
      <c r="B182" s="1" t="s">
        <v>225</v>
      </c>
    </row>
    <row r="183" ht="15.75" hidden="1" customHeight="1">
      <c r="A183" s="1">
        <v>32902.0</v>
      </c>
      <c r="B183" s="1" t="s">
        <v>226</v>
      </c>
    </row>
    <row r="184" ht="15.75" hidden="1" customHeight="1">
      <c r="A184" s="1">
        <v>32903.0</v>
      </c>
      <c r="B184" s="1" t="s">
        <v>227</v>
      </c>
    </row>
    <row r="185" ht="15.75" customHeight="1">
      <c r="A185" s="1">
        <v>33101.0</v>
      </c>
      <c r="B185" s="1" t="s">
        <v>228</v>
      </c>
    </row>
    <row r="186" ht="15.75" customHeight="1">
      <c r="A186" s="1">
        <v>33102.0</v>
      </c>
      <c r="B186" s="1" t="s">
        <v>229</v>
      </c>
    </row>
    <row r="187" ht="15.75" customHeight="1">
      <c r="A187" s="1">
        <v>33103.0</v>
      </c>
      <c r="B187" s="1" t="s">
        <v>230</v>
      </c>
    </row>
    <row r="188" ht="15.75" customHeight="1">
      <c r="A188" s="1">
        <v>33104.0</v>
      </c>
      <c r="B188" s="1" t="s">
        <v>231</v>
      </c>
    </row>
    <row r="189" ht="15.75" customHeight="1">
      <c r="A189" s="1">
        <v>33105.0</v>
      </c>
      <c r="B189" s="1" t="s">
        <v>232</v>
      </c>
    </row>
    <row r="190" ht="15.75" customHeight="1">
      <c r="A190" s="1">
        <v>33199.0</v>
      </c>
      <c r="B190" s="1" t="s">
        <v>233</v>
      </c>
    </row>
    <row r="191" ht="15.75" customHeight="1">
      <c r="A191" s="1">
        <v>33201.0</v>
      </c>
      <c r="B191" s="1" t="s">
        <v>234</v>
      </c>
    </row>
    <row r="192" ht="15.75" customHeight="1">
      <c r="A192" s="1">
        <v>33301.0</v>
      </c>
      <c r="B192" s="1" t="s">
        <v>235</v>
      </c>
    </row>
    <row r="193" ht="15.75" customHeight="1">
      <c r="A193" s="1">
        <v>33302.0</v>
      </c>
      <c r="B193" s="1" t="s">
        <v>236</v>
      </c>
    </row>
    <row r="194" ht="15.75" customHeight="1">
      <c r="A194" s="1">
        <v>33303.0</v>
      </c>
      <c r="B194" s="1" t="s">
        <v>237</v>
      </c>
    </row>
    <row r="195" ht="15.75" customHeight="1">
      <c r="A195" s="1">
        <v>33304.0</v>
      </c>
      <c r="B195" s="1" t="s">
        <v>238</v>
      </c>
    </row>
    <row r="196" ht="15.75" customHeight="1">
      <c r="A196" s="1">
        <v>33401.0</v>
      </c>
      <c r="B196" s="1" t="s">
        <v>239</v>
      </c>
    </row>
    <row r="197" ht="15.75" customHeight="1">
      <c r="A197" s="1">
        <v>33501.0</v>
      </c>
      <c r="B197" s="1" t="s">
        <v>240</v>
      </c>
    </row>
    <row r="198" ht="15.75" customHeight="1">
      <c r="A198" s="1">
        <v>33601.0</v>
      </c>
      <c r="B198" s="1" t="s">
        <v>241</v>
      </c>
    </row>
    <row r="199" ht="15.75" customHeight="1">
      <c r="A199" s="1">
        <v>33602.0</v>
      </c>
      <c r="B199" s="1" t="s">
        <v>242</v>
      </c>
    </row>
    <row r="200" ht="15.75" customHeight="1">
      <c r="A200" s="1">
        <v>33603.0</v>
      </c>
      <c r="B200" s="1" t="s">
        <v>243</v>
      </c>
    </row>
    <row r="201" ht="15.75" customHeight="1">
      <c r="A201" s="1">
        <v>33604.0</v>
      </c>
      <c r="B201" s="1" t="s">
        <v>244</v>
      </c>
    </row>
    <row r="202" ht="15.75" customHeight="1">
      <c r="A202" s="1">
        <v>33605.0</v>
      </c>
      <c r="B202" s="1" t="s">
        <v>245</v>
      </c>
    </row>
    <row r="203" ht="15.75" customHeight="1">
      <c r="A203" s="1">
        <v>33606.0</v>
      </c>
      <c r="B203" s="1" t="s">
        <v>246</v>
      </c>
    </row>
    <row r="204" ht="15.75" customHeight="1">
      <c r="A204" s="1">
        <v>33701.0</v>
      </c>
      <c r="B204" s="1" t="s">
        <v>247</v>
      </c>
    </row>
    <row r="205" ht="15.75" customHeight="1">
      <c r="A205" s="1">
        <v>33702.0</v>
      </c>
      <c r="B205" s="1" t="s">
        <v>248</v>
      </c>
    </row>
    <row r="206" ht="15.75" customHeight="1">
      <c r="A206" s="1">
        <v>33801.0</v>
      </c>
      <c r="B206" s="1" t="s">
        <v>249</v>
      </c>
    </row>
    <row r="207" ht="15.75" customHeight="1">
      <c r="A207" s="1">
        <v>33901.0</v>
      </c>
      <c r="B207" s="1" t="s">
        <v>250</v>
      </c>
    </row>
    <row r="208" ht="15.75" customHeight="1">
      <c r="A208" s="1">
        <v>33902.0</v>
      </c>
      <c r="B208" s="1" t="s">
        <v>251</v>
      </c>
    </row>
    <row r="209" ht="15.75" customHeight="1">
      <c r="A209" s="1">
        <v>33903.0</v>
      </c>
      <c r="B209" s="1" t="s">
        <v>252</v>
      </c>
    </row>
    <row r="210" ht="15.75" hidden="1" customHeight="1">
      <c r="A210" s="1">
        <v>34101.0</v>
      </c>
      <c r="B210" s="1" t="s">
        <v>253</v>
      </c>
    </row>
    <row r="211" ht="15.75" hidden="1" customHeight="1">
      <c r="A211" s="1">
        <v>34199.0</v>
      </c>
      <c r="B211" s="1" t="s">
        <v>254</v>
      </c>
    </row>
    <row r="212" ht="15.75" hidden="1" customHeight="1">
      <c r="A212" s="1">
        <v>34301.0</v>
      </c>
      <c r="B212" s="1" t="s">
        <v>255</v>
      </c>
    </row>
    <row r="213" ht="15.75" hidden="1" customHeight="1">
      <c r="A213" s="1">
        <v>34401.0</v>
      </c>
      <c r="B213" s="1" t="s">
        <v>256</v>
      </c>
    </row>
    <row r="214" ht="15.75" hidden="1" customHeight="1">
      <c r="A214" s="1">
        <v>34501.0</v>
      </c>
      <c r="B214" s="1" t="s">
        <v>257</v>
      </c>
    </row>
    <row r="215" ht="15.75" hidden="1" customHeight="1">
      <c r="A215" s="1">
        <v>34601.0</v>
      </c>
      <c r="B215" s="1" t="s">
        <v>258</v>
      </c>
    </row>
    <row r="216" ht="15.75" hidden="1" customHeight="1">
      <c r="A216" s="1">
        <v>34701.0</v>
      </c>
      <c r="B216" s="1" t="s">
        <v>259</v>
      </c>
    </row>
    <row r="217" ht="15.75" hidden="1" customHeight="1">
      <c r="A217" s="1">
        <v>34801.0</v>
      </c>
      <c r="B217" s="1" t="s">
        <v>260</v>
      </c>
    </row>
    <row r="218" ht="15.75" hidden="1" customHeight="1">
      <c r="A218" s="1">
        <v>35101.0</v>
      </c>
      <c r="B218" s="1" t="s">
        <v>261</v>
      </c>
    </row>
    <row r="219" ht="15.75" hidden="1" customHeight="1">
      <c r="A219" s="1">
        <v>35102.0</v>
      </c>
      <c r="B219" s="1" t="s">
        <v>262</v>
      </c>
    </row>
    <row r="220" ht="15.75" hidden="1" customHeight="1">
      <c r="A220" s="1">
        <v>35199.0</v>
      </c>
      <c r="B220" s="1" t="s">
        <v>263</v>
      </c>
    </row>
    <row r="221" ht="15.75" hidden="1" customHeight="1">
      <c r="A221" s="1">
        <v>35201.0</v>
      </c>
      <c r="B221" s="1" t="s">
        <v>264</v>
      </c>
    </row>
    <row r="222" ht="15.75" hidden="1" customHeight="1">
      <c r="A222" s="1">
        <v>35301.0</v>
      </c>
      <c r="B222" s="1" t="s">
        <v>265</v>
      </c>
    </row>
    <row r="223" ht="15.75" hidden="1" customHeight="1">
      <c r="A223" s="1">
        <v>35401.0</v>
      </c>
      <c r="B223" s="1" t="s">
        <v>266</v>
      </c>
    </row>
    <row r="224" ht="15.75" hidden="1" customHeight="1">
      <c r="A224" s="1">
        <v>35501.0</v>
      </c>
      <c r="B224" s="1" t="s">
        <v>267</v>
      </c>
    </row>
    <row r="225" ht="15.75" hidden="1" customHeight="1">
      <c r="A225" s="1">
        <v>35601.0</v>
      </c>
      <c r="B225" s="1" t="s">
        <v>268</v>
      </c>
    </row>
    <row r="226" ht="15.75" hidden="1" customHeight="1">
      <c r="A226" s="1">
        <v>35701.0</v>
      </c>
      <c r="B226" s="1" t="s">
        <v>269</v>
      </c>
    </row>
    <row r="227" ht="15.75" hidden="1" customHeight="1">
      <c r="A227" s="1">
        <v>35702.0</v>
      </c>
      <c r="B227" s="1" t="s">
        <v>270</v>
      </c>
    </row>
    <row r="228" ht="15.75" hidden="1" customHeight="1">
      <c r="A228" s="1">
        <v>35801.0</v>
      </c>
      <c r="B228" s="1" t="s">
        <v>271</v>
      </c>
    </row>
    <row r="229" ht="15.75" hidden="1" customHeight="1">
      <c r="A229" s="1">
        <v>35901.0</v>
      </c>
      <c r="B229" s="1" t="s">
        <v>272</v>
      </c>
    </row>
    <row r="230" ht="15.75" hidden="1" customHeight="1">
      <c r="A230" s="1">
        <v>36101.0</v>
      </c>
      <c r="B230" s="1" t="s">
        <v>273</v>
      </c>
    </row>
    <row r="231" ht="15.75" hidden="1" customHeight="1">
      <c r="A231" s="1">
        <v>36199.0</v>
      </c>
      <c r="B231" s="1" t="s">
        <v>274</v>
      </c>
    </row>
    <row r="232" ht="15.75" hidden="1" customHeight="1">
      <c r="A232" s="1">
        <v>36201.0</v>
      </c>
      <c r="B232" s="1" t="s">
        <v>275</v>
      </c>
    </row>
    <row r="233" ht="15.75" hidden="1" customHeight="1">
      <c r="A233" s="1">
        <v>36401.0</v>
      </c>
      <c r="B233" s="1" t="s">
        <v>276</v>
      </c>
    </row>
    <row r="234" ht="15.75" hidden="1" customHeight="1">
      <c r="A234" s="1">
        <v>36601.0</v>
      </c>
      <c r="B234" s="1" t="s">
        <v>277</v>
      </c>
    </row>
    <row r="235" ht="15.75" hidden="1" customHeight="1">
      <c r="A235" s="1">
        <v>36901.0</v>
      </c>
      <c r="B235" s="1" t="s">
        <v>278</v>
      </c>
    </row>
    <row r="236" ht="15.75" hidden="1" customHeight="1">
      <c r="A236" s="1">
        <v>37101.0</v>
      </c>
      <c r="B236" s="1" t="s">
        <v>279</v>
      </c>
    </row>
    <row r="237" ht="15.75" hidden="1" customHeight="1">
      <c r="A237" s="1">
        <v>37102.0</v>
      </c>
      <c r="B237" s="1" t="s">
        <v>280</v>
      </c>
    </row>
    <row r="238" ht="15.75" hidden="1" customHeight="1">
      <c r="A238" s="1">
        <v>37103.0</v>
      </c>
      <c r="B238" s="1" t="s">
        <v>281</v>
      </c>
    </row>
    <row r="239" ht="15.75" hidden="1" customHeight="1">
      <c r="A239" s="1">
        <v>37104.0</v>
      </c>
      <c r="B239" s="1" t="s">
        <v>282</v>
      </c>
    </row>
    <row r="240" ht="15.75" hidden="1" customHeight="1">
      <c r="A240" s="1">
        <v>37105.0</v>
      </c>
      <c r="B240" s="1" t="s">
        <v>283</v>
      </c>
    </row>
    <row r="241" ht="15.75" hidden="1" customHeight="1">
      <c r="A241" s="1">
        <v>37106.0</v>
      </c>
      <c r="B241" s="1" t="s">
        <v>284</v>
      </c>
    </row>
    <row r="242" ht="15.75" hidden="1" customHeight="1">
      <c r="A242" s="1">
        <v>37199.0</v>
      </c>
      <c r="B242" s="1" t="s">
        <v>285</v>
      </c>
    </row>
    <row r="243" ht="15.75" hidden="1" customHeight="1">
      <c r="A243" s="1">
        <v>37201.0</v>
      </c>
      <c r="B243" s="1" t="s">
        <v>286</v>
      </c>
    </row>
    <row r="244" ht="15.75" hidden="1" customHeight="1">
      <c r="A244" s="1">
        <v>37202.0</v>
      </c>
      <c r="B244" s="1" t="s">
        <v>287</v>
      </c>
    </row>
    <row r="245" ht="15.75" hidden="1" customHeight="1">
      <c r="A245" s="1">
        <v>37203.0</v>
      </c>
      <c r="B245" s="1" t="s">
        <v>288</v>
      </c>
    </row>
    <row r="246" ht="15.75" hidden="1" customHeight="1">
      <c r="A246" s="1">
        <v>37204.0</v>
      </c>
      <c r="B246" s="1" t="s">
        <v>289</v>
      </c>
    </row>
    <row r="247" ht="15.75" hidden="1" customHeight="1">
      <c r="A247" s="1">
        <v>37205.0</v>
      </c>
      <c r="B247" s="1" t="s">
        <v>290</v>
      </c>
    </row>
    <row r="248" ht="15.75" hidden="1" customHeight="1">
      <c r="A248" s="1">
        <v>37206.0</v>
      </c>
      <c r="B248" s="1" t="s">
        <v>291</v>
      </c>
    </row>
    <row r="249" ht="15.75" hidden="1" customHeight="1">
      <c r="A249" s="1">
        <v>37207.0</v>
      </c>
      <c r="B249" s="1" t="s">
        <v>292</v>
      </c>
    </row>
    <row r="250" ht="15.75" hidden="1" customHeight="1">
      <c r="A250" s="1">
        <v>37301.0</v>
      </c>
      <c r="B250" s="1" t="s">
        <v>293</v>
      </c>
    </row>
    <row r="251" ht="15.75" hidden="1" customHeight="1">
      <c r="A251" s="1">
        <v>37302.0</v>
      </c>
      <c r="B251" s="1" t="s">
        <v>294</v>
      </c>
    </row>
    <row r="252" ht="15.75" hidden="1" customHeight="1">
      <c r="A252" s="1">
        <v>37303.0</v>
      </c>
      <c r="B252" s="1" t="s">
        <v>295</v>
      </c>
    </row>
    <row r="253" ht="15.75" hidden="1" customHeight="1">
      <c r="A253" s="1">
        <v>37304.0</v>
      </c>
      <c r="B253" s="1" t="s">
        <v>296</v>
      </c>
    </row>
    <row r="254" ht="15.75" hidden="1" customHeight="1">
      <c r="A254" s="1">
        <v>37501.0</v>
      </c>
      <c r="B254" s="1" t="s">
        <v>297</v>
      </c>
    </row>
    <row r="255" ht="15.75" hidden="1" customHeight="1">
      <c r="A255" s="1">
        <v>37502.0</v>
      </c>
      <c r="B255" s="1" t="s">
        <v>298</v>
      </c>
    </row>
    <row r="256" ht="15.75" hidden="1" customHeight="1">
      <c r="A256" s="1">
        <v>37503.0</v>
      </c>
      <c r="B256" s="1" t="s">
        <v>299</v>
      </c>
    </row>
    <row r="257" ht="15.75" hidden="1" customHeight="1">
      <c r="A257" s="1">
        <v>37504.0</v>
      </c>
      <c r="B257" s="1" t="s">
        <v>300</v>
      </c>
    </row>
    <row r="258" ht="15.75" hidden="1" customHeight="1">
      <c r="A258" s="1">
        <v>37601.0</v>
      </c>
      <c r="B258" s="1" t="s">
        <v>301</v>
      </c>
    </row>
    <row r="259" ht="15.75" hidden="1" customHeight="1">
      <c r="A259" s="1">
        <v>37602.0</v>
      </c>
      <c r="B259" s="1" t="s">
        <v>302</v>
      </c>
    </row>
    <row r="260" ht="15.75" hidden="1" customHeight="1">
      <c r="A260" s="1">
        <v>37701.0</v>
      </c>
      <c r="B260" s="1" t="s">
        <v>303</v>
      </c>
    </row>
    <row r="261" ht="15.75" hidden="1" customHeight="1">
      <c r="A261" s="1">
        <v>37801.0</v>
      </c>
      <c r="B261" s="1" t="s">
        <v>304</v>
      </c>
    </row>
    <row r="262" ht="15.75" hidden="1" customHeight="1">
      <c r="A262" s="1">
        <v>37802.0</v>
      </c>
      <c r="B262" s="1" t="s">
        <v>305</v>
      </c>
    </row>
    <row r="263" ht="15.75" hidden="1" customHeight="1">
      <c r="A263" s="1">
        <v>37901.0</v>
      </c>
      <c r="B263" s="1" t="s">
        <v>306</v>
      </c>
    </row>
    <row r="264" ht="15.75" hidden="1" customHeight="1">
      <c r="A264" s="1">
        <v>38101.0</v>
      </c>
      <c r="B264" s="1" t="s">
        <v>307</v>
      </c>
    </row>
    <row r="265" ht="15.75" hidden="1" customHeight="1">
      <c r="A265" s="1">
        <v>38102.0</v>
      </c>
      <c r="B265" s="1" t="s">
        <v>308</v>
      </c>
    </row>
    <row r="266" ht="15.75" hidden="1" customHeight="1">
      <c r="A266" s="1">
        <v>38103.0</v>
      </c>
      <c r="B266" s="1" t="s">
        <v>309</v>
      </c>
    </row>
    <row r="267" ht="15.75" hidden="1" customHeight="1">
      <c r="A267" s="1">
        <v>38199.0</v>
      </c>
      <c r="B267" s="1" t="s">
        <v>310</v>
      </c>
    </row>
    <row r="268" ht="15.75" hidden="1" customHeight="1">
      <c r="A268" s="1">
        <v>38201.0</v>
      </c>
      <c r="B268" s="1" t="s">
        <v>311</v>
      </c>
    </row>
    <row r="269" ht="15.75" hidden="1" customHeight="1">
      <c r="A269" s="1">
        <v>38301.0</v>
      </c>
      <c r="B269" s="1" t="s">
        <v>312</v>
      </c>
    </row>
    <row r="270" ht="15.75" hidden="1" customHeight="1">
      <c r="A270" s="1">
        <v>38401.0</v>
      </c>
      <c r="B270" s="1" t="s">
        <v>313</v>
      </c>
    </row>
    <row r="271" ht="15.75" hidden="1" customHeight="1">
      <c r="A271" s="1">
        <v>38501.0</v>
      </c>
      <c r="B271" s="1" t="s">
        <v>314</v>
      </c>
    </row>
    <row r="272" ht="15.75" hidden="1" customHeight="1">
      <c r="A272" s="1">
        <v>39101.0</v>
      </c>
      <c r="B272" s="1" t="s">
        <v>315</v>
      </c>
    </row>
    <row r="273" ht="15.75" hidden="1" customHeight="1">
      <c r="A273" s="1">
        <v>39199.0</v>
      </c>
      <c r="B273" s="1" t="s">
        <v>316</v>
      </c>
    </row>
    <row r="274" ht="15.75" hidden="1" customHeight="1">
      <c r="A274" s="1">
        <v>39201.0</v>
      </c>
      <c r="B274" s="1" t="s">
        <v>317</v>
      </c>
    </row>
    <row r="275" ht="15.75" hidden="1" customHeight="1">
      <c r="A275" s="1">
        <v>39202.0</v>
      </c>
      <c r="B275" s="1" t="s">
        <v>318</v>
      </c>
    </row>
    <row r="276" ht="15.75" hidden="1" customHeight="1">
      <c r="A276" s="1">
        <v>39301.0</v>
      </c>
      <c r="B276" s="1" t="s">
        <v>319</v>
      </c>
    </row>
    <row r="277" ht="15.75" hidden="1" customHeight="1">
      <c r="A277" s="1">
        <v>39401.0</v>
      </c>
      <c r="B277" s="1" t="s">
        <v>320</v>
      </c>
    </row>
    <row r="278" ht="15.75" hidden="1" customHeight="1">
      <c r="A278" s="1">
        <v>39402.0</v>
      </c>
      <c r="B278" s="1" t="s">
        <v>321</v>
      </c>
    </row>
    <row r="279" ht="15.75" hidden="1" customHeight="1">
      <c r="A279" s="1">
        <v>39403.0</v>
      </c>
      <c r="B279" s="1" t="s">
        <v>322</v>
      </c>
    </row>
    <row r="280" ht="15.75" hidden="1" customHeight="1">
      <c r="A280" s="1">
        <v>39501.0</v>
      </c>
      <c r="B280" s="1" t="s">
        <v>323</v>
      </c>
    </row>
    <row r="281" ht="15.75" hidden="1" customHeight="1">
      <c r="A281" s="1">
        <v>39601.0</v>
      </c>
      <c r="B281" s="1" t="s">
        <v>324</v>
      </c>
    </row>
    <row r="282" ht="15.75" hidden="1" customHeight="1">
      <c r="A282" s="1">
        <v>39602.0</v>
      </c>
      <c r="B282" s="1" t="s">
        <v>325</v>
      </c>
    </row>
    <row r="283" ht="15.75" hidden="1" customHeight="1">
      <c r="A283" s="1">
        <v>39701.0</v>
      </c>
      <c r="B283" s="1" t="s">
        <v>326</v>
      </c>
    </row>
    <row r="284" ht="15.75" hidden="1" customHeight="1">
      <c r="A284" s="1">
        <v>39801.0</v>
      </c>
      <c r="B284" s="1" t="s">
        <v>327</v>
      </c>
    </row>
    <row r="285" ht="15.75" hidden="1" customHeight="1">
      <c r="A285" s="1">
        <v>39901.0</v>
      </c>
      <c r="B285" s="1" t="s">
        <v>328</v>
      </c>
    </row>
    <row r="286" ht="15.75" hidden="1" customHeight="1">
      <c r="A286" s="1">
        <v>39902.0</v>
      </c>
      <c r="B286" s="1" t="s">
        <v>329</v>
      </c>
    </row>
    <row r="287" ht="15.75" hidden="1" customHeight="1">
      <c r="A287" s="1">
        <v>39903.0</v>
      </c>
      <c r="B287" s="1" t="s">
        <v>330</v>
      </c>
    </row>
    <row r="288" ht="15.75" hidden="1" customHeight="1">
      <c r="A288" s="1">
        <v>39904.0</v>
      </c>
      <c r="B288" s="1" t="s">
        <v>331</v>
      </c>
    </row>
    <row r="289" ht="15.75" hidden="1" customHeight="1">
      <c r="A289" s="1">
        <v>39905.0</v>
      </c>
      <c r="B289" s="1" t="s">
        <v>332</v>
      </c>
    </row>
    <row r="290" ht="15.75" hidden="1" customHeight="1">
      <c r="A290" s="1">
        <v>39906.0</v>
      </c>
      <c r="B290" s="1" t="s">
        <v>333</v>
      </c>
    </row>
    <row r="291" ht="15.75" hidden="1" customHeight="1">
      <c r="A291" s="1">
        <v>39907.0</v>
      </c>
      <c r="B291" s="1" t="s">
        <v>334</v>
      </c>
    </row>
    <row r="292" ht="15.75" hidden="1" customHeight="1">
      <c r="A292" s="1">
        <v>39908.0</v>
      </c>
      <c r="B292" s="1" t="s">
        <v>335</v>
      </c>
    </row>
    <row r="293" ht="15.75" hidden="1" customHeight="1">
      <c r="A293" s="1">
        <v>39909.0</v>
      </c>
      <c r="B293" s="1" t="s">
        <v>336</v>
      </c>
    </row>
    <row r="294" ht="15.75" hidden="1" customHeight="1">
      <c r="A294" s="1">
        <v>39910.0</v>
      </c>
      <c r="B294" s="1" t="s">
        <v>337</v>
      </c>
    </row>
    <row r="295" ht="15.75" hidden="1" customHeight="1">
      <c r="A295" s="1">
        <v>41501.0</v>
      </c>
      <c r="B295" s="1" t="s">
        <v>338</v>
      </c>
    </row>
    <row r="296" ht="15.75" hidden="1" customHeight="1">
      <c r="A296" s="1">
        <v>41601.0</v>
      </c>
      <c r="B296" s="1" t="s">
        <v>339</v>
      </c>
    </row>
    <row r="297" ht="15.75" hidden="1" customHeight="1">
      <c r="A297" s="1">
        <v>43101.0</v>
      </c>
      <c r="B297" s="1" t="s">
        <v>340</v>
      </c>
    </row>
    <row r="298" ht="15.75" hidden="1" customHeight="1">
      <c r="A298" s="1">
        <v>43201.0</v>
      </c>
      <c r="B298" s="1" t="s">
        <v>341</v>
      </c>
    </row>
    <row r="299" ht="15.75" customHeight="1">
      <c r="A299" s="1">
        <v>43301.0</v>
      </c>
      <c r="B299" s="1" t="s">
        <v>342</v>
      </c>
    </row>
    <row r="300" ht="15.75" hidden="1" customHeight="1">
      <c r="A300" s="1">
        <v>43401.0</v>
      </c>
      <c r="B300" s="1" t="s">
        <v>343</v>
      </c>
    </row>
    <row r="301" ht="15.75" hidden="1" customHeight="1">
      <c r="A301" s="1">
        <v>43501.0</v>
      </c>
      <c r="B301" s="1" t="s">
        <v>344</v>
      </c>
    </row>
    <row r="302" ht="15.75" hidden="1" customHeight="1">
      <c r="A302" s="1">
        <v>43601.0</v>
      </c>
      <c r="B302" s="1" t="s">
        <v>345</v>
      </c>
    </row>
    <row r="303" ht="15.75" hidden="1" customHeight="1">
      <c r="A303" s="1">
        <v>43701.0</v>
      </c>
      <c r="B303" s="1" t="s">
        <v>346</v>
      </c>
    </row>
    <row r="304" ht="15.75" hidden="1" customHeight="1">
      <c r="A304" s="1">
        <v>43801.0</v>
      </c>
      <c r="B304" s="1" t="s">
        <v>347</v>
      </c>
    </row>
    <row r="305" ht="15.75" hidden="1" customHeight="1">
      <c r="A305" s="1">
        <v>43901.0</v>
      </c>
      <c r="B305" s="1" t="s">
        <v>348</v>
      </c>
    </row>
    <row r="306" ht="15.75" hidden="1" customHeight="1">
      <c r="A306" s="1">
        <v>43902.0</v>
      </c>
      <c r="B306" s="1" t="s">
        <v>349</v>
      </c>
    </row>
    <row r="307" ht="15.75" hidden="1" customHeight="1">
      <c r="A307" s="1">
        <v>44101.0</v>
      </c>
      <c r="B307" s="1" t="s">
        <v>350</v>
      </c>
    </row>
    <row r="308" ht="15.75" hidden="1" customHeight="1">
      <c r="A308" s="1">
        <v>44102.0</v>
      </c>
      <c r="B308" s="1" t="s">
        <v>351</v>
      </c>
    </row>
    <row r="309" ht="15.75" hidden="1" customHeight="1">
      <c r="A309" s="1">
        <v>44103.0</v>
      </c>
      <c r="B309" s="1" t="s">
        <v>352</v>
      </c>
    </row>
    <row r="310" ht="15.75" hidden="1" customHeight="1">
      <c r="A310" s="1">
        <v>44104.0</v>
      </c>
      <c r="B310" s="1" t="s">
        <v>353</v>
      </c>
    </row>
    <row r="311" ht="15.75" hidden="1" customHeight="1">
      <c r="A311" s="1">
        <v>44105.0</v>
      </c>
      <c r="B311" s="1" t="s">
        <v>354</v>
      </c>
    </row>
    <row r="312" ht="15.75" hidden="1" customHeight="1">
      <c r="A312" s="1">
        <v>44106.0</v>
      </c>
      <c r="B312" s="1" t="s">
        <v>355</v>
      </c>
    </row>
    <row r="313" ht="15.75" hidden="1" customHeight="1">
      <c r="A313" s="1">
        <v>44107.0</v>
      </c>
      <c r="B313" s="1" t="s">
        <v>356</v>
      </c>
    </row>
    <row r="314" ht="15.75" hidden="1" customHeight="1">
      <c r="A314" s="1">
        <v>44108.0</v>
      </c>
      <c r="B314" s="1" t="s">
        <v>357</v>
      </c>
    </row>
    <row r="315" ht="15.75" hidden="1" customHeight="1">
      <c r="A315" s="1">
        <v>44109.0</v>
      </c>
      <c r="B315" s="1" t="s">
        <v>358</v>
      </c>
    </row>
    <row r="316" ht="15.75" hidden="1" customHeight="1">
      <c r="A316" s="1">
        <v>44110.0</v>
      </c>
      <c r="B316" s="1" t="s">
        <v>359</v>
      </c>
    </row>
    <row r="317" ht="15.75" hidden="1" customHeight="1">
      <c r="A317" s="1">
        <v>44199.0</v>
      </c>
      <c r="B317" s="1" t="s">
        <v>360</v>
      </c>
    </row>
    <row r="318" ht="15.75" hidden="1" customHeight="1">
      <c r="A318" s="1">
        <v>44201.0</v>
      </c>
      <c r="B318" s="1" t="s">
        <v>361</v>
      </c>
    </row>
    <row r="319" ht="15.75" hidden="1" customHeight="1">
      <c r="A319" s="1">
        <v>44401.0</v>
      </c>
      <c r="B319" s="1" t="s">
        <v>362</v>
      </c>
    </row>
    <row r="320" ht="15.75" hidden="1" customHeight="1">
      <c r="A320" s="1">
        <v>44402.0</v>
      </c>
      <c r="B320" s="1" t="s">
        <v>363</v>
      </c>
    </row>
    <row r="321" ht="15.75" hidden="1" customHeight="1">
      <c r="A321" s="1">
        <v>44501.0</v>
      </c>
      <c r="B321" s="1" t="s">
        <v>364</v>
      </c>
    </row>
    <row r="322" ht="15.75" hidden="1" customHeight="1">
      <c r="A322" s="1">
        <v>44502.0</v>
      </c>
      <c r="B322" s="1" t="s">
        <v>365</v>
      </c>
    </row>
    <row r="323" ht="15.75" hidden="1" customHeight="1">
      <c r="A323" s="1">
        <v>44801.0</v>
      </c>
      <c r="B323" s="1" t="s">
        <v>366</v>
      </c>
    </row>
    <row r="324" ht="15.75" hidden="1" customHeight="1">
      <c r="A324" s="1">
        <v>45201.0</v>
      </c>
      <c r="B324" s="1" t="s">
        <v>367</v>
      </c>
    </row>
    <row r="325" ht="15.75" hidden="1" customHeight="1">
      <c r="A325" s="1">
        <v>45202.0</v>
      </c>
      <c r="B325" s="1" t="s">
        <v>368</v>
      </c>
    </row>
    <row r="326" ht="15.75" hidden="1" customHeight="1">
      <c r="A326" s="1">
        <v>45203.0</v>
      </c>
      <c r="B326" s="1" t="s">
        <v>369</v>
      </c>
    </row>
    <row r="327" ht="15.75" hidden="1" customHeight="1">
      <c r="A327" s="1">
        <v>45901.0</v>
      </c>
      <c r="B327" s="1" t="s">
        <v>370</v>
      </c>
    </row>
    <row r="328" ht="15.75" hidden="1" customHeight="1">
      <c r="A328" s="1">
        <v>45902.0</v>
      </c>
      <c r="B328" s="1" t="s">
        <v>371</v>
      </c>
    </row>
    <row r="329" ht="15.75" hidden="1" customHeight="1">
      <c r="A329" s="1">
        <v>46101.0</v>
      </c>
      <c r="B329" s="1" t="s">
        <v>372</v>
      </c>
    </row>
    <row r="330" ht="15.75" hidden="1" customHeight="1">
      <c r="A330" s="1">
        <v>46102.0</v>
      </c>
      <c r="B330" s="1" t="s">
        <v>373</v>
      </c>
    </row>
    <row r="331" ht="15.75" hidden="1" customHeight="1">
      <c r="A331" s="1">
        <v>46199.0</v>
      </c>
      <c r="B331" s="1" t="s">
        <v>374</v>
      </c>
    </row>
    <row r="332" ht="15.75" hidden="1" customHeight="1">
      <c r="A332" s="1">
        <v>46201.0</v>
      </c>
      <c r="B332" s="1" t="s">
        <v>375</v>
      </c>
    </row>
    <row r="333" ht="15.75" hidden="1" customHeight="1">
      <c r="A333" s="1">
        <v>46301.0</v>
      </c>
      <c r="B333" s="1" t="s">
        <v>376</v>
      </c>
    </row>
    <row r="334" ht="15.75" hidden="1" customHeight="1">
      <c r="A334" s="1">
        <v>47101.0</v>
      </c>
      <c r="B334" s="1" t="s">
        <v>377</v>
      </c>
    </row>
    <row r="335" ht="15.75" hidden="1" customHeight="1">
      <c r="A335" s="1">
        <v>47102.0</v>
      </c>
      <c r="B335" s="1" t="s">
        <v>378</v>
      </c>
    </row>
    <row r="336" ht="15.75" hidden="1" customHeight="1">
      <c r="A336" s="1">
        <v>48101.0</v>
      </c>
      <c r="B336" s="1" t="s">
        <v>379</v>
      </c>
    </row>
    <row r="337" ht="15.75" hidden="1" customHeight="1">
      <c r="A337" s="1">
        <v>48199.0</v>
      </c>
      <c r="B337" s="1" t="s">
        <v>380</v>
      </c>
    </row>
    <row r="338" ht="15.75" hidden="1" customHeight="1">
      <c r="A338" s="1">
        <v>48201.0</v>
      </c>
      <c r="B338" s="1" t="s">
        <v>381</v>
      </c>
    </row>
    <row r="339" ht="15.75" hidden="1" customHeight="1">
      <c r="A339" s="1">
        <v>48301.0</v>
      </c>
      <c r="B339" s="1" t="s">
        <v>382</v>
      </c>
    </row>
    <row r="340" ht="15.75" hidden="1" customHeight="1">
      <c r="A340" s="1">
        <v>48401.0</v>
      </c>
      <c r="B340" s="1" t="s">
        <v>383</v>
      </c>
    </row>
    <row r="341" ht="15.75" hidden="1" customHeight="1">
      <c r="A341" s="1">
        <v>48501.0</v>
      </c>
      <c r="B341" s="1" t="s">
        <v>384</v>
      </c>
    </row>
    <row r="342" ht="15.75" hidden="1" customHeight="1">
      <c r="A342" s="1">
        <v>49199.0</v>
      </c>
      <c r="B342" s="1" t="s">
        <v>385</v>
      </c>
    </row>
    <row r="343" ht="15.75" hidden="1" customHeight="1">
      <c r="A343" s="1">
        <v>49201.0</v>
      </c>
      <c r="B343" s="1" t="s">
        <v>386</v>
      </c>
    </row>
    <row r="344" ht="15.75" hidden="1" customHeight="1">
      <c r="A344" s="1">
        <v>49202.0</v>
      </c>
      <c r="B344" s="1" t="s">
        <v>387</v>
      </c>
    </row>
    <row r="345" ht="15.75" hidden="1" customHeight="1">
      <c r="A345" s="1">
        <v>51101.0</v>
      </c>
      <c r="B345" s="1" t="s">
        <v>388</v>
      </c>
    </row>
    <row r="346" ht="15.75" hidden="1" customHeight="1">
      <c r="A346" s="1">
        <v>51199.0</v>
      </c>
      <c r="B346" s="1" t="s">
        <v>389</v>
      </c>
    </row>
    <row r="347" ht="15.75" hidden="1" customHeight="1">
      <c r="A347" s="1">
        <v>51301.0</v>
      </c>
      <c r="B347" s="1" t="s">
        <v>390</v>
      </c>
    </row>
    <row r="348" ht="15.75" hidden="1" customHeight="1">
      <c r="A348" s="1">
        <v>51501.0</v>
      </c>
      <c r="B348" s="1" t="s">
        <v>391</v>
      </c>
    </row>
    <row r="349" ht="15.75" hidden="1" customHeight="1">
      <c r="A349" s="1">
        <v>51901.0</v>
      </c>
      <c r="B349" s="1" t="s">
        <v>392</v>
      </c>
    </row>
    <row r="350" ht="15.75" hidden="1" customHeight="1">
      <c r="A350" s="1">
        <v>51902.0</v>
      </c>
      <c r="B350" s="1" t="s">
        <v>393</v>
      </c>
    </row>
    <row r="351" ht="15.75" hidden="1" customHeight="1">
      <c r="A351" s="1">
        <v>52101.0</v>
      </c>
      <c r="B351" s="1" t="s">
        <v>394</v>
      </c>
    </row>
    <row r="352" ht="15.75" hidden="1" customHeight="1">
      <c r="A352" s="1">
        <v>52199.0</v>
      </c>
      <c r="B352" s="1" t="s">
        <v>395</v>
      </c>
    </row>
    <row r="353" ht="15.75" hidden="1" customHeight="1">
      <c r="A353" s="1">
        <v>52201.0</v>
      </c>
      <c r="B353" s="1" t="s">
        <v>396</v>
      </c>
    </row>
    <row r="354" ht="15.75" hidden="1" customHeight="1">
      <c r="A354" s="1">
        <v>52301.0</v>
      </c>
      <c r="B354" s="1" t="s">
        <v>397</v>
      </c>
    </row>
    <row r="355" ht="15.75" hidden="1" customHeight="1">
      <c r="A355" s="1">
        <v>52901.0</v>
      </c>
      <c r="B355" s="1" t="s">
        <v>398</v>
      </c>
    </row>
    <row r="356" ht="15.75" hidden="1" customHeight="1">
      <c r="A356" s="1">
        <v>53101.0</v>
      </c>
      <c r="B356" s="1" t="s">
        <v>399</v>
      </c>
    </row>
    <row r="357" ht="15.75" hidden="1" customHeight="1">
      <c r="A357" s="1">
        <v>53199.0</v>
      </c>
      <c r="B357" s="1" t="s">
        <v>400</v>
      </c>
    </row>
    <row r="358" ht="15.75" hidden="1" customHeight="1">
      <c r="A358" s="1">
        <v>53201.0</v>
      </c>
      <c r="B358" s="1" t="s">
        <v>401</v>
      </c>
    </row>
    <row r="359" ht="15.75" hidden="1" customHeight="1">
      <c r="A359" s="1">
        <v>54101.0</v>
      </c>
      <c r="B359" s="1" t="s">
        <v>402</v>
      </c>
    </row>
    <row r="360" ht="15.75" hidden="1" customHeight="1">
      <c r="A360" s="1">
        <v>54102.0</v>
      </c>
      <c r="B360" s="1" t="s">
        <v>403</v>
      </c>
    </row>
    <row r="361" ht="15.75" hidden="1" customHeight="1">
      <c r="A361" s="1">
        <v>54103.0</v>
      </c>
      <c r="B361" s="1" t="s">
        <v>404</v>
      </c>
    </row>
    <row r="362" ht="15.75" hidden="1" customHeight="1">
      <c r="A362" s="1">
        <v>54104.0</v>
      </c>
      <c r="B362" s="1" t="s">
        <v>405</v>
      </c>
    </row>
    <row r="363" ht="15.75" hidden="1" customHeight="1">
      <c r="A363" s="1">
        <v>54105.0</v>
      </c>
      <c r="B363" s="1" t="s">
        <v>406</v>
      </c>
    </row>
    <row r="364" ht="15.75" hidden="1" customHeight="1">
      <c r="A364" s="1">
        <v>54199.0</v>
      </c>
      <c r="B364" s="1" t="s">
        <v>407</v>
      </c>
    </row>
    <row r="365" ht="15.75" hidden="1" customHeight="1">
      <c r="A365" s="1">
        <v>54201.0</v>
      </c>
      <c r="B365" s="1" t="s">
        <v>408</v>
      </c>
    </row>
    <row r="366" ht="15.75" hidden="1" customHeight="1">
      <c r="A366" s="1">
        <v>54301.0</v>
      </c>
      <c r="B366" s="1" t="s">
        <v>409</v>
      </c>
    </row>
    <row r="367" ht="15.75" hidden="1" customHeight="1">
      <c r="A367" s="1">
        <v>54302.0</v>
      </c>
      <c r="B367" s="1" t="s">
        <v>410</v>
      </c>
    </row>
    <row r="368" ht="15.75" hidden="1" customHeight="1">
      <c r="A368" s="1">
        <v>54303.0</v>
      </c>
      <c r="B368" s="1" t="s">
        <v>411</v>
      </c>
    </row>
    <row r="369" ht="15.75" hidden="1" customHeight="1">
      <c r="A369" s="1">
        <v>54401.0</v>
      </c>
      <c r="B369" s="1" t="s">
        <v>412</v>
      </c>
    </row>
    <row r="370" ht="15.75" hidden="1" customHeight="1">
      <c r="A370" s="1">
        <v>54501.0</v>
      </c>
      <c r="B370" s="1" t="s">
        <v>413</v>
      </c>
    </row>
    <row r="371" ht="15.75" hidden="1" customHeight="1">
      <c r="A371" s="1">
        <v>54502.0</v>
      </c>
      <c r="B371" s="1" t="s">
        <v>414</v>
      </c>
    </row>
    <row r="372" ht="15.75" hidden="1" customHeight="1">
      <c r="A372" s="1">
        <v>54503.0</v>
      </c>
      <c r="B372" s="1" t="s">
        <v>415</v>
      </c>
    </row>
    <row r="373" ht="15.75" hidden="1" customHeight="1">
      <c r="A373" s="1">
        <v>54901.0</v>
      </c>
      <c r="B373" s="1" t="s">
        <v>416</v>
      </c>
    </row>
    <row r="374" ht="15.75" hidden="1" customHeight="1">
      <c r="A374" s="1">
        <v>55101.0</v>
      </c>
      <c r="B374" s="1" t="s">
        <v>417</v>
      </c>
    </row>
    <row r="375" ht="15.75" hidden="1" customHeight="1">
      <c r="A375" s="1">
        <v>55102.0</v>
      </c>
      <c r="B375" s="1" t="s">
        <v>418</v>
      </c>
    </row>
    <row r="376" ht="15.75" hidden="1" customHeight="1">
      <c r="A376" s="1">
        <v>55199.0</v>
      </c>
      <c r="B376" s="1" t="s">
        <v>419</v>
      </c>
    </row>
    <row r="377" ht="15.75" hidden="1" customHeight="1">
      <c r="A377" s="1">
        <v>56101.0</v>
      </c>
      <c r="B377" s="1" t="s">
        <v>420</v>
      </c>
    </row>
    <row r="378" ht="15.75" hidden="1" customHeight="1">
      <c r="A378" s="1">
        <v>56199.0</v>
      </c>
      <c r="B378" s="1" t="s">
        <v>421</v>
      </c>
    </row>
    <row r="379" ht="15.75" hidden="1" customHeight="1">
      <c r="A379" s="1">
        <v>56201.0</v>
      </c>
      <c r="B379" s="1" t="s">
        <v>422</v>
      </c>
    </row>
    <row r="380" ht="15.75" hidden="1" customHeight="1">
      <c r="A380" s="1">
        <v>56301.0</v>
      </c>
      <c r="B380" s="1" t="s">
        <v>423</v>
      </c>
    </row>
    <row r="381" ht="15.75" hidden="1" customHeight="1">
      <c r="A381" s="1">
        <v>56501.0</v>
      </c>
      <c r="B381" s="1" t="s">
        <v>424</v>
      </c>
    </row>
    <row r="382" ht="15.75" hidden="1" customHeight="1">
      <c r="A382" s="1">
        <v>56601.0</v>
      </c>
      <c r="B382" s="1" t="s">
        <v>425</v>
      </c>
    </row>
    <row r="383" ht="15.75" hidden="1" customHeight="1">
      <c r="A383" s="1">
        <v>56701.0</v>
      </c>
      <c r="B383" s="1" t="s">
        <v>426</v>
      </c>
    </row>
    <row r="384" ht="15.75" hidden="1" customHeight="1">
      <c r="A384" s="1">
        <v>56901.0</v>
      </c>
      <c r="B384" s="1" t="s">
        <v>427</v>
      </c>
    </row>
    <row r="385" ht="15.75" hidden="1" customHeight="1">
      <c r="A385" s="1">
        <v>56902.0</v>
      </c>
      <c r="B385" s="1" t="s">
        <v>428</v>
      </c>
    </row>
    <row r="386" ht="15.75" hidden="1" customHeight="1">
      <c r="A386" s="1">
        <v>57101.0</v>
      </c>
      <c r="B386" s="1" t="s">
        <v>429</v>
      </c>
    </row>
    <row r="387" ht="15.75" hidden="1" customHeight="1">
      <c r="A387" s="1">
        <v>57199.0</v>
      </c>
      <c r="B387" s="1" t="s">
        <v>430</v>
      </c>
    </row>
    <row r="388" ht="15.75" hidden="1" customHeight="1">
      <c r="A388" s="1">
        <v>57601.0</v>
      </c>
      <c r="B388" s="1" t="s">
        <v>431</v>
      </c>
    </row>
    <row r="389" ht="15.75" hidden="1" customHeight="1">
      <c r="A389" s="1">
        <v>57701.0</v>
      </c>
      <c r="B389" s="1" t="s">
        <v>432</v>
      </c>
    </row>
    <row r="390" ht="15.75" hidden="1" customHeight="1">
      <c r="A390" s="1">
        <v>58101.0</v>
      </c>
      <c r="B390" s="1" t="s">
        <v>433</v>
      </c>
    </row>
    <row r="391" ht="15.75" hidden="1" customHeight="1">
      <c r="A391" s="1">
        <v>58199.0</v>
      </c>
      <c r="B391" s="1" t="s">
        <v>434</v>
      </c>
    </row>
    <row r="392" ht="15.75" hidden="1" customHeight="1">
      <c r="A392" s="1">
        <v>58301.0</v>
      </c>
      <c r="B392" s="1" t="s">
        <v>435</v>
      </c>
    </row>
    <row r="393" ht="15.75" hidden="1" customHeight="1">
      <c r="A393" s="1">
        <v>58901.0</v>
      </c>
      <c r="B393" s="1" t="s">
        <v>436</v>
      </c>
    </row>
    <row r="394" ht="15.75" hidden="1" customHeight="1">
      <c r="A394" s="1">
        <v>58902.0</v>
      </c>
      <c r="B394" s="1" t="s">
        <v>437</v>
      </c>
    </row>
    <row r="395" ht="15.75" hidden="1" customHeight="1">
      <c r="A395" s="1">
        <v>58903.0</v>
      </c>
      <c r="B395" s="1" t="s">
        <v>438</v>
      </c>
    </row>
    <row r="396" ht="15.75" hidden="1" customHeight="1">
      <c r="A396" s="1">
        <v>58904.0</v>
      </c>
      <c r="B396" s="1" t="s">
        <v>439</v>
      </c>
    </row>
    <row r="397" ht="15.75" hidden="1" customHeight="1">
      <c r="A397" s="1">
        <v>59101.0</v>
      </c>
      <c r="B397" s="1" t="s">
        <v>440</v>
      </c>
    </row>
    <row r="398" ht="15.75" hidden="1" customHeight="1">
      <c r="A398" s="1">
        <v>59199.0</v>
      </c>
      <c r="B398" s="1" t="s">
        <v>441</v>
      </c>
    </row>
    <row r="399" ht="15.75" hidden="1" customHeight="1">
      <c r="A399" s="1">
        <v>62101.0</v>
      </c>
      <c r="B399" s="1" t="s">
        <v>442</v>
      </c>
    </row>
    <row r="400" ht="15.75" hidden="1" customHeight="1">
      <c r="A400" s="1">
        <v>62102.0</v>
      </c>
      <c r="B400" s="1" t="s">
        <v>443</v>
      </c>
    </row>
    <row r="401" ht="15.75" hidden="1" customHeight="1">
      <c r="A401" s="1">
        <v>62199.0</v>
      </c>
      <c r="B401" s="1" t="s">
        <v>444</v>
      </c>
    </row>
    <row r="402" ht="15.75" hidden="1" customHeight="1">
      <c r="A402" s="1">
        <v>62201.0</v>
      </c>
      <c r="B402" s="1" t="s">
        <v>445</v>
      </c>
    </row>
    <row r="403" ht="15.75" hidden="1" customHeight="1">
      <c r="A403" s="1">
        <v>62202.0</v>
      </c>
      <c r="B403" s="1" t="s">
        <v>446</v>
      </c>
    </row>
    <row r="404" ht="15.75" hidden="1" customHeight="1">
      <c r="A404" s="1">
        <v>62301.0</v>
      </c>
      <c r="B404" s="1" t="s">
        <v>447</v>
      </c>
    </row>
    <row r="405" ht="15.75" hidden="1" customHeight="1">
      <c r="A405" s="1">
        <v>62302.0</v>
      </c>
      <c r="B405" s="1" t="s">
        <v>448</v>
      </c>
    </row>
    <row r="406" ht="15.75" hidden="1" customHeight="1">
      <c r="A406" s="1">
        <v>62401.0</v>
      </c>
      <c r="B406" s="1" t="s">
        <v>449</v>
      </c>
    </row>
    <row r="407" ht="15.75" hidden="1" customHeight="1">
      <c r="A407" s="1">
        <v>62402.0</v>
      </c>
      <c r="B407" s="1" t="s">
        <v>450</v>
      </c>
    </row>
    <row r="408" ht="15.75" hidden="1" customHeight="1">
      <c r="A408" s="1">
        <v>62403.0</v>
      </c>
      <c r="B408" s="1" t="s">
        <v>451</v>
      </c>
    </row>
    <row r="409" ht="15.75" hidden="1" customHeight="1">
      <c r="A409" s="1">
        <v>62501.0</v>
      </c>
      <c r="B409" s="1" t="s">
        <v>452</v>
      </c>
    </row>
    <row r="410" ht="15.75" hidden="1" customHeight="1">
      <c r="A410" s="1">
        <v>62502.0</v>
      </c>
      <c r="B410" s="1" t="s">
        <v>453</v>
      </c>
    </row>
    <row r="411" ht="15.75" hidden="1" customHeight="1">
      <c r="A411" s="1">
        <v>62601.0</v>
      </c>
      <c r="B411" s="1" t="s">
        <v>454</v>
      </c>
    </row>
    <row r="412" ht="15.75" hidden="1" customHeight="1">
      <c r="A412" s="1">
        <v>62602.0</v>
      </c>
      <c r="B412" s="1" t="s">
        <v>455</v>
      </c>
    </row>
    <row r="413" ht="15.75" hidden="1" customHeight="1">
      <c r="A413" s="1">
        <v>62701.0</v>
      </c>
      <c r="B413" s="1" t="s">
        <v>456</v>
      </c>
    </row>
    <row r="414" ht="15.75" hidden="1" customHeight="1">
      <c r="A414" s="1">
        <v>62901.0</v>
      </c>
      <c r="B414" s="1" t="s">
        <v>457</v>
      </c>
    </row>
    <row r="415" ht="15.75" hidden="1" customHeight="1">
      <c r="A415" s="1">
        <v>62902.0</v>
      </c>
      <c r="B415" s="1" t="s">
        <v>458</v>
      </c>
    </row>
    <row r="416" ht="15.75" hidden="1" customHeight="1">
      <c r="A416" s="1">
        <v>62903.0</v>
      </c>
      <c r="B416" s="1" t="s">
        <v>459</v>
      </c>
    </row>
    <row r="417" ht="15.75" hidden="1" customHeight="1">
      <c r="A417" s="1">
        <v>62904.0</v>
      </c>
      <c r="B417" s="1" t="s">
        <v>460</v>
      </c>
    </row>
    <row r="418" ht="15.75" hidden="1" customHeight="1">
      <c r="A418" s="1">
        <v>62905.0</v>
      </c>
      <c r="B418" s="1" t="s">
        <v>461</v>
      </c>
    </row>
    <row r="419" ht="15.75" hidden="1" customHeight="1">
      <c r="A419" s="1">
        <v>72501.0</v>
      </c>
      <c r="B419" s="1" t="s">
        <v>462</v>
      </c>
    </row>
    <row r="420" ht="15.75" hidden="1" customHeight="1">
      <c r="A420" s="1">
        <v>73101.0</v>
      </c>
      <c r="B420" s="1" t="s">
        <v>463</v>
      </c>
    </row>
    <row r="421" ht="15.75" hidden="1" customHeight="1">
      <c r="A421" s="1">
        <v>73501.0</v>
      </c>
      <c r="B421" s="1" t="s">
        <v>464</v>
      </c>
    </row>
    <row r="422" ht="15.75" hidden="1" customHeight="1">
      <c r="A422" s="1">
        <v>73901.0</v>
      </c>
      <c r="B422" s="1" t="s">
        <v>465</v>
      </c>
    </row>
    <row r="423" ht="15.75" hidden="1" customHeight="1">
      <c r="A423" s="1">
        <v>73902.0</v>
      </c>
      <c r="B423" s="1" t="s">
        <v>466</v>
      </c>
    </row>
    <row r="424" ht="15.75" hidden="1" customHeight="1">
      <c r="A424" s="1">
        <v>73903.0</v>
      </c>
      <c r="B424" s="1" t="s">
        <v>467</v>
      </c>
    </row>
    <row r="425" ht="15.75" hidden="1" customHeight="1">
      <c r="A425" s="1">
        <v>74201.0</v>
      </c>
      <c r="B425" s="1" t="s">
        <v>468</v>
      </c>
    </row>
    <row r="426" ht="15.75" hidden="1" customHeight="1">
      <c r="A426" s="1">
        <v>74401.0</v>
      </c>
      <c r="B426" s="1" t="s">
        <v>469</v>
      </c>
    </row>
    <row r="427" ht="15.75" hidden="1" customHeight="1">
      <c r="A427" s="1">
        <v>74501.0</v>
      </c>
      <c r="B427" s="1" t="s">
        <v>470</v>
      </c>
    </row>
    <row r="428" ht="15.75" hidden="1" customHeight="1">
      <c r="A428" s="1">
        <v>74502.0</v>
      </c>
      <c r="B428" s="1" t="s">
        <v>471</v>
      </c>
    </row>
    <row r="429" ht="15.75" hidden="1" customHeight="1">
      <c r="A429" s="1">
        <v>74503.0</v>
      </c>
      <c r="B429" s="1" t="s">
        <v>472</v>
      </c>
    </row>
    <row r="430" ht="15.75" hidden="1" customHeight="1">
      <c r="A430" s="1">
        <v>74504.0</v>
      </c>
      <c r="B430" s="1" t="s">
        <v>473</v>
      </c>
    </row>
    <row r="431" ht="15.75" hidden="1" customHeight="1">
      <c r="A431" s="1">
        <v>74505.0</v>
      </c>
      <c r="B431" s="1" t="s">
        <v>474</v>
      </c>
    </row>
    <row r="432" ht="15.75" hidden="1" customHeight="1">
      <c r="A432" s="1">
        <v>74506.0</v>
      </c>
      <c r="B432" s="1" t="s">
        <v>475</v>
      </c>
    </row>
    <row r="433" ht="15.75" hidden="1" customHeight="1">
      <c r="A433" s="1">
        <v>75501.0</v>
      </c>
      <c r="B433" s="1" t="s">
        <v>476</v>
      </c>
    </row>
    <row r="434" ht="15.75" hidden="1" customHeight="1">
      <c r="A434" s="1">
        <v>75601.0</v>
      </c>
      <c r="B434" s="1" t="s">
        <v>477</v>
      </c>
    </row>
    <row r="435" ht="15.75" hidden="1" customHeight="1">
      <c r="A435" s="1">
        <v>75602.0</v>
      </c>
      <c r="B435" s="1" t="s">
        <v>478</v>
      </c>
    </row>
    <row r="436" ht="15.75" hidden="1" customHeight="1">
      <c r="A436" s="1">
        <v>75901.0</v>
      </c>
      <c r="B436" s="1" t="s">
        <v>479</v>
      </c>
    </row>
    <row r="437" ht="15.75" hidden="1" customHeight="1">
      <c r="A437" s="1">
        <v>79901.0</v>
      </c>
      <c r="B437" s="1" t="s">
        <v>480</v>
      </c>
    </row>
    <row r="438" ht="15.75" hidden="1" customHeight="1">
      <c r="A438" s="1">
        <v>79902.0</v>
      </c>
      <c r="B438" s="1" t="s">
        <v>481</v>
      </c>
    </row>
    <row r="439" ht="15.75" hidden="1" customHeight="1">
      <c r="A439" s="1">
        <v>81101.0</v>
      </c>
      <c r="B439" s="1" t="s">
        <v>482</v>
      </c>
    </row>
    <row r="440" ht="15.75" hidden="1" customHeight="1">
      <c r="A440" s="1">
        <v>81201.0</v>
      </c>
      <c r="B440" s="1" t="s">
        <v>483</v>
      </c>
    </row>
    <row r="441" ht="15.75" hidden="1" customHeight="1">
      <c r="A441" s="1">
        <v>81401.0</v>
      </c>
      <c r="B441" s="1" t="s">
        <v>484</v>
      </c>
    </row>
    <row r="442" ht="15.75" hidden="1" customHeight="1">
      <c r="A442" s="1">
        <v>83101.0</v>
      </c>
      <c r="B442" s="1" t="s">
        <v>485</v>
      </c>
    </row>
    <row r="443" ht="15.75" hidden="1" customHeight="1">
      <c r="A443" s="1">
        <v>83102.0</v>
      </c>
      <c r="B443" s="1" t="s">
        <v>486</v>
      </c>
    </row>
    <row r="444" ht="15.75" hidden="1" customHeight="1">
      <c r="A444" s="1">
        <v>83103.0</v>
      </c>
      <c r="B444" s="1" t="s">
        <v>487</v>
      </c>
    </row>
    <row r="445" ht="15.75" hidden="1" customHeight="1">
      <c r="A445" s="1">
        <v>83104.0</v>
      </c>
      <c r="B445" s="1" t="s">
        <v>488</v>
      </c>
    </row>
    <row r="446" ht="15.75" hidden="1" customHeight="1">
      <c r="A446" s="1">
        <v>83105.0</v>
      </c>
      <c r="B446" s="1" t="s">
        <v>489</v>
      </c>
    </row>
    <row r="447" ht="15.75" hidden="1" customHeight="1">
      <c r="A447" s="1">
        <v>83106.0</v>
      </c>
      <c r="B447" s="1" t="s">
        <v>490</v>
      </c>
    </row>
    <row r="448" ht="15.75" hidden="1" customHeight="1">
      <c r="A448" s="1">
        <v>83107.0</v>
      </c>
      <c r="B448" s="1" t="s">
        <v>491</v>
      </c>
    </row>
    <row r="449" ht="15.75" hidden="1" customHeight="1">
      <c r="A449" s="1">
        <v>83108.0</v>
      </c>
      <c r="B449" s="1" t="s">
        <v>492</v>
      </c>
    </row>
    <row r="450" ht="15.75" hidden="1" customHeight="1">
      <c r="A450" s="1">
        <v>83109.0</v>
      </c>
      <c r="B450" s="1" t="s">
        <v>493</v>
      </c>
    </row>
    <row r="451" ht="15.75" hidden="1" customHeight="1">
      <c r="A451" s="1">
        <v>83110.0</v>
      </c>
      <c r="B451" s="1" t="s">
        <v>494</v>
      </c>
    </row>
    <row r="452" ht="15.75" hidden="1" customHeight="1">
      <c r="A452" s="1">
        <v>83111.0</v>
      </c>
      <c r="B452" s="1" t="s">
        <v>495</v>
      </c>
    </row>
    <row r="453" ht="15.75" hidden="1" customHeight="1">
      <c r="A453" s="1">
        <v>83112.0</v>
      </c>
      <c r="B453" s="1" t="s">
        <v>496</v>
      </c>
    </row>
    <row r="454" ht="15.75" hidden="1" customHeight="1">
      <c r="A454" s="1">
        <v>83113.0</v>
      </c>
      <c r="B454" s="1" t="s">
        <v>497</v>
      </c>
    </row>
    <row r="455" ht="15.75" hidden="1" customHeight="1">
      <c r="A455" s="1">
        <v>83114.0</v>
      </c>
      <c r="B455" s="1" t="s">
        <v>498</v>
      </c>
    </row>
    <row r="456" ht="15.75" hidden="1" customHeight="1">
      <c r="A456" s="1">
        <v>83115.0</v>
      </c>
      <c r="B456" s="1" t="s">
        <v>499</v>
      </c>
    </row>
    <row r="457" ht="15.75" hidden="1" customHeight="1">
      <c r="A457" s="1">
        <v>83116.0</v>
      </c>
      <c r="B457" s="1" t="s">
        <v>500</v>
      </c>
    </row>
    <row r="458" ht="15.75" hidden="1" customHeight="1">
      <c r="A458" s="1">
        <v>83117.0</v>
      </c>
      <c r="B458" s="1" t="s">
        <v>501</v>
      </c>
    </row>
    <row r="459" ht="15.75" hidden="1" customHeight="1">
      <c r="A459" s="1">
        <v>83118.0</v>
      </c>
      <c r="B459" s="1" t="s">
        <v>502</v>
      </c>
    </row>
    <row r="460" ht="15.75" hidden="1" customHeight="1">
      <c r="A460" s="1">
        <v>83401.0</v>
      </c>
      <c r="B460" s="1" t="s">
        <v>503</v>
      </c>
    </row>
    <row r="461" ht="15.75" hidden="1" customHeight="1">
      <c r="A461" s="1">
        <v>83501.0</v>
      </c>
      <c r="B461" s="1" t="s">
        <v>504</v>
      </c>
    </row>
    <row r="462" ht="15.75" hidden="1" customHeight="1">
      <c r="A462" s="1">
        <v>85101.0</v>
      </c>
      <c r="B462" s="1" t="s">
        <v>505</v>
      </c>
    </row>
    <row r="463" ht="15.75" hidden="1" customHeight="1">
      <c r="A463" s="1">
        <v>91101.0</v>
      </c>
      <c r="B463" s="1" t="s">
        <v>506</v>
      </c>
    </row>
    <row r="464" ht="15.75" hidden="1" customHeight="1">
      <c r="A464" s="1">
        <v>91102.0</v>
      </c>
      <c r="B464" s="1" t="s">
        <v>507</v>
      </c>
    </row>
    <row r="465" ht="15.75" hidden="1" customHeight="1">
      <c r="A465" s="1">
        <v>91201.0</v>
      </c>
      <c r="B465" s="1" t="s">
        <v>508</v>
      </c>
    </row>
    <row r="466" ht="15.75" hidden="1" customHeight="1">
      <c r="A466" s="1">
        <v>91301.0</v>
      </c>
      <c r="B466" s="1" t="s">
        <v>509</v>
      </c>
    </row>
    <row r="467" ht="15.75" hidden="1" customHeight="1">
      <c r="A467" s="1">
        <v>91302.0</v>
      </c>
      <c r="B467" s="1" t="s">
        <v>510</v>
      </c>
    </row>
    <row r="468" ht="15.75" hidden="1" customHeight="1">
      <c r="A468" s="1">
        <v>91401.0</v>
      </c>
      <c r="B468" s="1" t="s">
        <v>511</v>
      </c>
    </row>
    <row r="469" ht="15.75" hidden="1" customHeight="1">
      <c r="A469" s="1">
        <v>91402.0</v>
      </c>
      <c r="B469" s="1" t="s">
        <v>512</v>
      </c>
    </row>
    <row r="470" ht="15.75" hidden="1" customHeight="1">
      <c r="A470" s="1">
        <v>91501.0</v>
      </c>
      <c r="B470" s="1" t="s">
        <v>513</v>
      </c>
    </row>
    <row r="471" ht="15.75" hidden="1" customHeight="1">
      <c r="A471" s="1">
        <v>91601.0</v>
      </c>
      <c r="B471" s="1" t="s">
        <v>514</v>
      </c>
    </row>
    <row r="472" ht="15.75" hidden="1" customHeight="1">
      <c r="A472" s="1">
        <v>91701.0</v>
      </c>
      <c r="B472" s="1" t="s">
        <v>515</v>
      </c>
    </row>
    <row r="473" ht="15.75" hidden="1" customHeight="1">
      <c r="A473" s="1">
        <v>91801.0</v>
      </c>
      <c r="B473" s="1" t="s">
        <v>516</v>
      </c>
    </row>
    <row r="474" ht="15.75" hidden="1" customHeight="1">
      <c r="A474" s="1">
        <v>92101.0</v>
      </c>
      <c r="B474" s="1" t="s">
        <v>517</v>
      </c>
    </row>
    <row r="475" ht="15.75" hidden="1" customHeight="1">
      <c r="A475" s="1">
        <v>92102.0</v>
      </c>
      <c r="B475" s="1" t="s">
        <v>518</v>
      </c>
    </row>
    <row r="476" ht="15.75" hidden="1" customHeight="1">
      <c r="A476" s="1">
        <v>92201.0</v>
      </c>
      <c r="B476" s="1" t="s">
        <v>519</v>
      </c>
    </row>
    <row r="477" ht="15.75" hidden="1" customHeight="1">
      <c r="A477" s="1">
        <v>92301.0</v>
      </c>
      <c r="B477" s="1" t="s">
        <v>520</v>
      </c>
    </row>
    <row r="478" ht="15.75" hidden="1" customHeight="1">
      <c r="A478" s="1">
        <v>92302.0</v>
      </c>
      <c r="B478" s="1" t="s">
        <v>521</v>
      </c>
    </row>
    <row r="479" ht="15.75" hidden="1" customHeight="1">
      <c r="A479" s="1">
        <v>92401.0</v>
      </c>
      <c r="B479" s="1" t="s">
        <v>522</v>
      </c>
    </row>
    <row r="480" ht="15.75" hidden="1" customHeight="1">
      <c r="A480" s="1">
        <v>92402.0</v>
      </c>
      <c r="B480" s="1" t="s">
        <v>523</v>
      </c>
    </row>
    <row r="481" ht="15.75" hidden="1" customHeight="1">
      <c r="A481" s="1">
        <v>92501.0</v>
      </c>
      <c r="B481" s="1" t="s">
        <v>524</v>
      </c>
    </row>
    <row r="482" ht="15.75" hidden="1" customHeight="1">
      <c r="A482" s="1">
        <v>92601.0</v>
      </c>
      <c r="B482" s="1" t="s">
        <v>525</v>
      </c>
    </row>
    <row r="483" ht="15.75" hidden="1" customHeight="1">
      <c r="A483" s="1">
        <v>92701.0</v>
      </c>
      <c r="B483" s="1" t="s">
        <v>526</v>
      </c>
    </row>
    <row r="484" ht="15.75" hidden="1" customHeight="1">
      <c r="A484" s="1">
        <v>92801.0</v>
      </c>
      <c r="B484" s="1" t="s">
        <v>527</v>
      </c>
    </row>
    <row r="485" ht="15.75" hidden="1" customHeight="1">
      <c r="A485" s="1">
        <v>93101.0</v>
      </c>
      <c r="B485" s="1" t="s">
        <v>528</v>
      </c>
    </row>
    <row r="486" ht="15.75" hidden="1" customHeight="1">
      <c r="A486" s="1">
        <v>93201.0</v>
      </c>
      <c r="B486" s="1" t="s">
        <v>529</v>
      </c>
    </row>
    <row r="487" ht="15.75" hidden="1" customHeight="1">
      <c r="A487" s="1">
        <v>94101.0</v>
      </c>
      <c r="B487" s="1" t="s">
        <v>530</v>
      </c>
    </row>
    <row r="488" ht="15.75" hidden="1" customHeight="1">
      <c r="A488" s="1">
        <v>94201.0</v>
      </c>
      <c r="B488" s="1" t="s">
        <v>531</v>
      </c>
    </row>
    <row r="489" ht="15.75" hidden="1" customHeight="1">
      <c r="A489" s="1">
        <v>95101.0</v>
      </c>
      <c r="B489" s="1" t="s">
        <v>532</v>
      </c>
    </row>
    <row r="490" ht="15.75" hidden="1" customHeight="1">
      <c r="A490" s="1">
        <v>96101.0</v>
      </c>
      <c r="B490" s="1" t="s">
        <v>533</v>
      </c>
    </row>
    <row r="491" ht="15.75" hidden="1" customHeight="1">
      <c r="A491" s="1">
        <v>96201.0</v>
      </c>
      <c r="B491" s="1" t="s">
        <v>534</v>
      </c>
    </row>
    <row r="492" ht="15.75" hidden="1" customHeight="1">
      <c r="A492" s="1">
        <v>99101.0</v>
      </c>
      <c r="B492" s="1" t="s">
        <v>535</v>
      </c>
    </row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492">
    <filterColumn colId="0">
      <filters>
        <filter val="33401"/>
        <filter val="43301"/>
        <filter val="33501"/>
        <filter val="33601"/>
        <filter val="33606"/>
        <filter val="33604"/>
        <filter val="33605"/>
        <filter val="33602"/>
        <filter val="33603"/>
        <filter val="33701"/>
        <filter val="33702"/>
        <filter val="23301"/>
        <filter val="33105"/>
        <filter val="33103"/>
        <filter val="33104"/>
        <filter val="33101"/>
        <filter val="33102"/>
        <filter val="33201"/>
        <filter val="33303"/>
        <filter val="33304"/>
        <filter val="33301"/>
        <filter val="33302"/>
        <filter val="33199"/>
        <filter val="13301"/>
        <filter val="33801"/>
        <filter val="33903"/>
        <filter val="33901"/>
        <filter val="33902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2026-03-24T01:13:05Z</dcterms:created>
  <dc:creator>Estación de Trabajo Depto. de Program. y Presup. 01</dc:creator>
</cp:coreProperties>
</file>